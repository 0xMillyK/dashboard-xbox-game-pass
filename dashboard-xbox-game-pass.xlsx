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le\Downloads\"/>
    </mc:Choice>
  </mc:AlternateContent>
  <xr:revisionPtr revIDLastSave="0" documentId="13_ncr:1_{593B2E81-6240-402D-AC6C-DE1E904B1308}" xr6:coauthVersionLast="47" xr6:coauthVersionMax="47" xr10:uidLastSave="{00000000-0000-0000-0000-000000000000}"/>
  <bookViews>
    <workbookView xWindow="-120" yWindow="-120" windowWidth="20730" windowHeight="11040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  <pivotCache cacheId="1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59" i="3" l="1"/>
  <c r="V59" i="3"/>
  <c r="V64" i="3"/>
  <c r="V63" i="3"/>
  <c r="V62" i="3"/>
  <c r="S59" i="3"/>
  <c r="S64" i="3"/>
  <c r="S63" i="3"/>
  <c r="S62" i="3"/>
  <c r="R59" i="3" s="1"/>
  <c r="R46" i="3"/>
  <c r="L45" i="3"/>
  <c r="S46" i="3"/>
  <c r="M45" i="3"/>
  <c r="F37" i="3"/>
  <c r="F25" i="3"/>
</calcChain>
</file>

<file path=xl/sharedStrings.xml><?xml version="1.0" encoding="utf-8"?>
<sst xmlns="http://schemas.openxmlformats.org/spreadsheetml/2006/main" count="2083" uniqueCount="337">
  <si>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</si>
  <si>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</si>
  <si>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</si>
  <si>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</si>
  <si>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</si>
  <si>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</si>
  <si>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</si>
  <si>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</si>
  <si>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</si>
  <si>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</si>
  <si>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</si>
  <si>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</si>
  <si>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</si>
  <si>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</si>
  <si>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</si>
  <si>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</si>
  <si>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</si>
  <si>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</si>
  <si>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</si>
  <si>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</si>
  <si>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</si>
  <si>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</si>
  <si>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</si>
  <si>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</si>
  <si>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</si>
  <si>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</si>
  <si>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</si>
  <si>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</si>
  <si>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</si>
  <si>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</si>
  <si>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</si>
  <si>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</si>
  <si>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</si>
  <si>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</si>
  <si>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</si>
  <si>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</si>
  <si>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</si>
  <si>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</si>
  <si>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</si>
  <si>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</si>
  <si>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</si>
  <si>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</si>
  <si>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</si>
  <si>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</si>
  <si>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</si>
  <si>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</si>
  <si>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</si>
  <si>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</si>
  <si>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</si>
  <si>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</si>
  <si>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</si>
  <si>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</si>
  <si>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</si>
  <si>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</si>
  <si>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</si>
  <si>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</si>
  <si>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</si>
  <si>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</si>
  <si>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</si>
  <si>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</si>
  <si>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</si>
  <si>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</si>
  <si>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</si>
  <si>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</si>
  <si>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</si>
  <si>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</si>
  <si>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</si>
  <si>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</si>
  <si>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</si>
  <si>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</si>
  <si>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</si>
  <si>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</si>
  <si>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</si>
  <si>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</si>
  <si>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</si>
  <si>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</si>
  <si>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</si>
  <si>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</si>
  <si>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</si>
  <si>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</si>
  <si>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</si>
  <si>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</si>
  <si>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</si>
  <si>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</si>
  <si>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</si>
  <si>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</si>
  <si>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</si>
  <si>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</si>
  <si>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</si>
  <si>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</si>
  <si>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</si>
  <si>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</si>
  <si>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</si>
  <si>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</si>
  <si>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</si>
  <si>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</si>
  <si>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</si>
  <si>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</si>
  <si>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</si>
  <si>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</si>
  <si>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</si>
  <si>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</si>
  <si>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</si>
  <si>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</si>
  <si>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</si>
  <si>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</si>
  <si>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</si>
  <si>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</si>
  <si>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</si>
  <si>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</si>
  <si>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</si>
  <si>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</si>
  <si>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</si>
  <si>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</si>
  <si>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</si>
  <si>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</si>
  <si>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</si>
  <si>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</si>
  <si>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</si>
  <si>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</si>
  <si>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</si>
  <si>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</si>
  <si>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</si>
  <si>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</si>
  <si>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</si>
  <si>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</si>
  <si>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</si>
  <si>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</si>
  <si>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</si>
  <si>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</si>
  <si>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</si>
  <si>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</si>
  <si>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</si>
  <si>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</si>
  <si>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</si>
  <si>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</si>
  <si>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</si>
  <si>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</si>
  <si>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</si>
  <si>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</si>
  <si>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</si>
  <si>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</si>
  <si>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</si>
  <si>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</si>
  <si>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</si>
  <si>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</si>
  <si>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</si>
  <si>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</si>
  <si>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</si>
  <si>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</si>
  <si>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</si>
  <si>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</si>
  <si>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</si>
  <si>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</si>
  <si>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</si>
  <si>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</si>
  <si>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</si>
  <si>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</si>
  <si>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</si>
  <si>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</si>
  <si>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</si>
  <si>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</si>
  <si>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</si>
  <si>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</si>
  <si>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</si>
  <si>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</si>
  <si>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</si>
  <si>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</si>
  <si>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</si>
  <si>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</si>
  <si>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</si>
  <si>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</si>
  <si>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</si>
  <si>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</si>
  <si>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</si>
  <si>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</si>
  <si>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</si>
  <si>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</si>
  <si>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</si>
  <si>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</si>
  <si>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</si>
  <si>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</si>
  <si>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</si>
  <si>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</si>
  <si>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</si>
  <si>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</si>
  <si>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</si>
  <si>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</si>
  <si>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</si>
  <si>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</si>
  <si>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</si>
  <si>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</si>
  <si>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</si>
  <si>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</si>
  <si>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</si>
  <si>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</si>
  <si>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</si>
  <si>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</si>
  <si>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</si>
  <si>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</si>
  <si>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</si>
  <si>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</si>
  <si>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</si>
  <si>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</si>
  <si>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</si>
  <si>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</si>
  <si>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</si>
  <si>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</si>
  <si>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</si>
  <si>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</si>
  <si>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</si>
  <si>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</si>
  <si>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</si>
  <si>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</si>
  <si>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</si>
  <si>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</si>
  <si>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</si>
  <si>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</si>
  <si>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</si>
  <si>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</si>
  <si>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</si>
  <si>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</si>
  <si>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</si>
  <si>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</si>
  <si>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</si>
  <si>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</si>
  <si>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</si>
  <si>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</si>
  <si>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</si>
  <si>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</si>
  <si>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</si>
  <si>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</si>
  <si>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</si>
  <si>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</si>
  <si>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</si>
  <si>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</si>
  <si>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</si>
  <si>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</si>
  <si>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</si>
  <si>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</si>
  <si>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</si>
  <si>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</si>
  <si>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</si>
  <si>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</si>
  <si>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</si>
  <si>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</si>
  <si>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</si>
  <si>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</si>
  <si>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</si>
  <si>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</si>
  <si>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</si>
  <si>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</si>
  <si>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</si>
  <si>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</si>
  <si>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</si>
  <si>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</si>
  <si>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</si>
  <si>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</si>
  <si>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</si>
  <si>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</si>
  <si>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</si>
  <si>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</si>
  <si>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</si>
  <si>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</si>
  <si>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</si>
  <si>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</si>
  <si>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</si>
  <si>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</si>
  <si>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</si>
  <si>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</si>
  <si>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</si>
  <si>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</si>
  <si>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</si>
  <si>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</si>
  <si>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</si>
  <si>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</si>
  <si>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</si>
  <si>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</si>
  <si>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</si>
  <si>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</si>
  <si>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</si>
  <si>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</si>
  <si>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</si>
  <si>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</si>
  <si>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</si>
  <si>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</si>
  <si>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</si>
  <si>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</si>
  <si>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</si>
  <si>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</si>
  <si>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</si>
  <si>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</si>
  <si>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</si>
  <si>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</si>
  <si>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</si>
  <si>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</si>
  <si>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</si>
  <si>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</si>
  <si>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</si>
  <si>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</si>
  <si>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</si>
  <si>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</si>
  <si>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</si>
  <si>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</si>
  <si>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</si>
  <si>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</si>
  <si>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</si>
  <si>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</si>
  <si>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</si>
  <si>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</si>
  <si>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</si>
  <si>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</si>
  <si>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</si>
  <si>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É uma pergunta respondida através de alguma análise de dado espécifica.</t>
  </si>
  <si>
    <r>
      <t xml:space="preserve">Pergunta de negócio 1: Qual faturamento </t>
    </r>
    <r>
      <rPr>
        <b/>
        <sz val="11"/>
        <color theme="1"/>
        <rFont val="Aptos Narrow"/>
        <family val="2"/>
        <scheme val="minor"/>
      </rPr>
      <t>total de venda de planos anuais(contendo todas as assinaturas agregadas).</t>
    </r>
  </si>
  <si>
    <t>Rótulos de Linha</t>
  </si>
  <si>
    <t>Total Geral</t>
  </si>
  <si>
    <t>Soma de Total Value</t>
  </si>
  <si>
    <r>
      <t xml:space="preserve">Pergunta de negócio 2: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>, separado por auto renovação não é por auto renovação</t>
    </r>
  </si>
  <si>
    <t>XBOX GAME PASS SUBSCRIPTIONS SALES</t>
  </si>
  <si>
    <t>Soma de EA Play Season Pass</t>
  </si>
  <si>
    <t xml:space="preserve">Pergunta de négocio 3: Total de vendas de assinaturas EA PLAY </t>
  </si>
  <si>
    <t>Pergunta de négocio 4: Total de vendas de assinaturas MINECRAFT SEASON PASS</t>
  </si>
  <si>
    <t>Soma de Minecraft Season Pass Price</t>
  </si>
  <si>
    <t>Pergunta de négocio 4: Qual assinatura tem mais clientes.</t>
  </si>
  <si>
    <t>Contagem de Subscriber ID</t>
  </si>
  <si>
    <t>Pergunta de négocio 5: Qual tipo de assinatura gera o maior faturamento?</t>
  </si>
  <si>
    <t>Pergnta de négocio 6: Qual tipo de assinatura apresenta o maior faturamento médio por assinatura?</t>
  </si>
  <si>
    <t>Média de Total Value2</t>
  </si>
  <si>
    <t>Pergunta de négocio 7: Qual tipo de assinatura apresenta o maior valor médio de cupom?</t>
  </si>
  <si>
    <t>Média de Coupon Value</t>
  </si>
  <si>
    <t>Pergunta de négocio 8: Qual tipo de assinatura apresenta maior adesão ao EA Play?</t>
  </si>
  <si>
    <t>Rótulos de Coluna</t>
  </si>
  <si>
    <t>Pergunta de négocio 9: Qual tipo de assinatura apresenta maior adesão ao Minecraft Season Pass?</t>
  </si>
  <si>
    <t>Adesão EA Play</t>
  </si>
  <si>
    <t>Tipo de assinatura</t>
  </si>
  <si>
    <t>Adesão Minecraft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</si>
</sst>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R$&quot;\ * #,##0.00_-;\-&quot;R$&quot;\ * #,##0.00_-;_-&quot;R$&quot;\ * &quot;-&quot;??_-;_-@_-"/>
    <numFmt numFmtId="164" formatCode="&quot;R$&quot;\ #,##0.00"/>
    <numFmt numFmtId="172" formatCode="0.0%"/>
  </numFmts>
  <fonts count="8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rgb="FF22C55E"/>
      <name val="Segoe UI"/>
      <family val="2"/>
    </font>
    <font>
      <u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  <xf numFmtId="9" fontId="2" fillId="0" borderId="0" applyFont="0" applyFill="0" applyBorder="0" applyAlignment="0" applyProtection="0"/>
  </cellStyleXfs>
  <cellXfs count="33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Alignment="1">
      <alignment horizontal="left" indent="1"/>
    </xf>
    <xf numFmtId="0" fontId="0" fillId="9" borderId="0" xfId="0" applyFill="1"/>
    <xf numFmtId="0" fontId="1" fillId="0" borderId="2" xfId="1" applyBorder="1"/>
    <xf numFmtId="0" fontId="0" fillId="0" borderId="2" xfId="0" applyBorder="1"/>
    <xf numFmtId="0" fontId="5" fillId="0" borderId="2" xfId="1" applyFont="1" applyFill="1" applyBorder="1" applyAlignment="1">
      <alignment horizontal="left" indent="2"/>
    </xf>
    <xf numFmtId="0" fontId="1" fillId="0" borderId="2" xfId="1" applyBorder="1" applyAlignment="1">
      <alignment horizontal="left" indent="2"/>
    </xf>
    <xf numFmtId="0" fontId="6" fillId="0" borderId="0" xfId="0" applyFont="1"/>
    <xf numFmtId="0" fontId="6" fillId="9" borderId="0" xfId="0" applyFont="1" applyFill="1"/>
    <xf numFmtId="0" fontId="0" fillId="0" borderId="0" xfId="0" applyNumberFormat="1"/>
    <xf numFmtId="0" fontId="4" fillId="8" borderId="0" xfId="3" applyAlignment="1">
      <alignment horizontal="center"/>
    </xf>
    <xf numFmtId="0" fontId="3" fillId="10" borderId="3" xfId="0" applyFont="1" applyFill="1" applyBorder="1"/>
    <xf numFmtId="0" fontId="3" fillId="10" borderId="4" xfId="0" applyFont="1" applyFill="1" applyBorder="1" applyAlignment="1">
      <alignment horizontal="left"/>
    </xf>
    <xf numFmtId="2" fontId="3" fillId="10" borderId="4" xfId="0" applyNumberFormat="1" applyFont="1" applyFill="1" applyBorder="1"/>
    <xf numFmtId="1" fontId="0" fillId="0" borderId="0" xfId="0" applyNumberFormat="1"/>
    <xf numFmtId="172" fontId="0" fillId="0" borderId="0" xfId="4" applyNumberFormat="1" applyFont="1"/>
    <xf numFmtId="0" fontId="7" fillId="10" borderId="3" xfId="0" applyFont="1" applyFill="1" applyBorder="1"/>
    <xf numFmtId="0" fontId="6" fillId="0" borderId="0" xfId="0" applyFont="1" applyAlignment="1">
      <alignment horizontal="left"/>
    </xf>
    <xf numFmtId="164" fontId="6" fillId="0" borderId="0" xfId="0" applyNumberFormat="1" applyFont="1"/>
  </cellXfs>
  <cellStyles count="5">
    <cellStyle name="Moeda" xfId="2" builtinId="4"/>
    <cellStyle name="Neutro" xfId="3" builtinId="28"/>
    <cellStyle name="Normal" xfId="0" builtinId="0"/>
    <cellStyle name="Porcentagem" xfId="4" builtinId="5"/>
    <cellStyle name="Título 1" xfId="1" builtinId="16"/>
  </cellStyles>
  <dxfs count="21"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0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20C17EAB-FD0C-4546-9BBD-4FAE33C77AF1}">
      <tableStyleElement type="wholeTable" dxfId="20"/>
      <tableStyleElement type="headerRow" dxfId="19"/>
    </tableStyle>
  </tableStyles>
  <colors>
    <mruColors>
      <color rgb="FF22C55E"/>
      <color rgb="FF5BF6A8"/>
      <color rgb="FF2AE6B1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 (1).xlsx]C̳álculos!tbl_anual_total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layout>
            <c:manualLayout>
              <c:x val="-1.0496689724510315E-16"/>
              <c:y val="0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fld id="{F53D3DB4-C8E0-4A1F-9964-398DBD0AB5E9}" type="VALUE">
                  <a:rPr lang="en-US" sz="900" b="1">
                    <a:solidFill>
                      <a:srgbClr val="22C55E"/>
                    </a:solidFill>
                  </a:rPr>
                  <a:pPr>
                    <a:defRPr sz="900" b="0" i="0" u="none" strike="noStrike" kern="1200" baseline="0">
                      <a:solidFill>
                        <a:srgbClr val="00B050"/>
                      </a:solidFill>
                      <a:latin typeface="+mn-lt"/>
                      <a:ea typeface="+mn-ea"/>
                      <a:cs typeface="+mn-cs"/>
                    </a:defRPr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fld id="{6599B9F0-DB39-46A6-967D-92EFE7857E2C}" type="VALUE">
                  <a:rPr lang="en-US" sz="900" b="1">
                    <a:solidFill>
                      <a:srgbClr val="22C55E"/>
                    </a:solidFill>
                  </a:rPr>
                  <a:pPr>
                    <a:defRPr sz="900" b="0" i="0" u="none" strike="noStrike" kern="1200" baseline="0">
                      <a:solidFill>
                        <a:srgbClr val="00B050"/>
                      </a:solidFill>
                      <a:latin typeface="+mn-lt"/>
                      <a:ea typeface="+mn-ea"/>
                      <a:cs typeface="+mn-cs"/>
                    </a:defRPr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C̳álculos!$B$12:$B$15</c:f>
              <c:multiLvlStrCache>
                <c:ptCount val="2"/>
                <c:lvl>
                  <c:pt idx="0">
                    <c:v>No</c:v>
                  </c:pt>
                  <c:pt idx="1">
                    <c:v>Yes</c:v>
                  </c:pt>
                </c:lvl>
                <c:lvl>
                  <c:pt idx="0">
                    <c:v>Annual</c:v>
                  </c:pt>
                </c:lvl>
              </c:multiLvlStrCache>
            </c:multiLvlStrRef>
          </c:cat>
          <c:val>
            <c:numRef>
              <c:f>C̳álculos!$C$12:$C$15</c:f>
              <c:numCache>
                <c:formatCode>"R$"\ #,##0.00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BB-431F-A0F2-5432923EB3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98014480"/>
        <c:axId val="398017360"/>
      </c:barChart>
      <c:catAx>
        <c:axId val="398014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8017360"/>
        <c:crosses val="autoZero"/>
        <c:auto val="1"/>
        <c:lblAlgn val="ctr"/>
        <c:lblOffset val="100"/>
        <c:noMultiLvlLbl val="0"/>
      </c:catAx>
      <c:valAx>
        <c:axId val="398017360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398014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731730091528812E-2"/>
          <c:y val="0.24877353074237349"/>
          <c:w val="0.88838837532735071"/>
          <c:h val="0.6547195337046332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C̳álculos!$G$47</c:f>
              <c:strCache>
                <c:ptCount val="1"/>
                <c:pt idx="0">
                  <c:v>Contagem de Subscriber ID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cat>
            <c:strRef>
              <c:f>C̳álculos!$F$48:$F$50</c:f>
              <c:strCache>
                <c:ptCount val="3"/>
                <c:pt idx="0">
                  <c:v>Annual</c:v>
                </c:pt>
                <c:pt idx="1">
                  <c:v>Monthly</c:v>
                </c:pt>
                <c:pt idx="2">
                  <c:v>Quarterly</c:v>
                </c:pt>
              </c:strCache>
            </c:strRef>
          </c:cat>
          <c:val>
            <c:numRef>
              <c:f>C̳álculos!$G$48:$G$50</c:f>
              <c:numCache>
                <c:formatCode>0</c:formatCode>
                <c:ptCount val="3"/>
                <c:pt idx="0">
                  <c:v>70</c:v>
                </c:pt>
                <c:pt idx="1">
                  <c:v>138</c:v>
                </c:pt>
                <c:pt idx="2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D1-443C-A072-F081146061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57019247"/>
        <c:axId val="1457009167"/>
      </c:barChart>
      <c:catAx>
        <c:axId val="14570192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57009167"/>
        <c:crosses val="autoZero"/>
        <c:auto val="1"/>
        <c:lblAlgn val="ctr"/>
        <c:lblOffset val="100"/>
        <c:noMultiLvlLbl val="0"/>
      </c:catAx>
      <c:valAx>
        <c:axId val="1457009167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57019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4054833095052012E-2"/>
          <c:y val="0.16640520789121047"/>
          <c:w val="0.84236812639862224"/>
          <c:h val="0.7082128128152719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C̳álculos!$J$47</c:f>
              <c:strCache>
                <c:ptCount val="1"/>
                <c:pt idx="0">
                  <c:v>Soma de Total Value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cat>
            <c:strRef>
              <c:f>C̳álculos!$I$48:$I$50</c:f>
              <c:strCache>
                <c:ptCount val="3"/>
                <c:pt idx="0">
                  <c:v>Annual</c:v>
                </c:pt>
                <c:pt idx="1">
                  <c:v>Monthly</c:v>
                </c:pt>
                <c:pt idx="2">
                  <c:v>Quarterly</c:v>
                </c:pt>
              </c:strCache>
            </c:strRef>
          </c:cat>
          <c:val>
            <c:numRef>
              <c:f>C̳álculos!$J$48:$J$50</c:f>
              <c:numCache>
                <c:formatCode>"R$"\ #,##0.00</c:formatCode>
                <c:ptCount val="3"/>
                <c:pt idx="0">
                  <c:v>1739</c:v>
                </c:pt>
                <c:pt idx="1">
                  <c:v>3567</c:v>
                </c:pt>
                <c:pt idx="2">
                  <c:v>2308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65-4B37-8793-7844833CED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69073759"/>
        <c:axId val="1369075679"/>
      </c:barChart>
      <c:catAx>
        <c:axId val="1369073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69075679"/>
        <c:crosses val="autoZero"/>
        <c:auto val="1"/>
        <c:lblAlgn val="ctr"/>
        <c:lblOffset val="100"/>
        <c:noMultiLvlLbl val="0"/>
      </c:catAx>
      <c:valAx>
        <c:axId val="1369075679"/>
        <c:scaling>
          <c:orientation val="minMax"/>
        </c:scaling>
        <c:delete val="0"/>
        <c:axPos val="b"/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69073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11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Relationship Id="rId9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1845811</xdr:colOff>
      <xdr:row>1</xdr:row>
      <xdr:rowOff>35718</xdr:rowOff>
    </xdr:from>
    <xdr:to>
      <xdr:col>2</xdr:col>
      <xdr:colOff>190501</xdr:colOff>
      <xdr:row>2</xdr:row>
      <xdr:rowOff>107154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F7E06F4-CADA-4839-BCF8-386CE2A29D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3185"/>
        <a:stretch/>
      </xdr:blipFill>
      <xdr:spPr>
        <a:xfrm>
          <a:off x="1845811" y="226218"/>
          <a:ext cx="464003" cy="523874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</xdr:row>
      <xdr:rowOff>130969</xdr:rowOff>
    </xdr:from>
    <xdr:to>
      <xdr:col>0</xdr:col>
      <xdr:colOff>1881186</xdr:colOff>
      <xdr:row>15</xdr:row>
      <xdr:rowOff>95251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EAA7CBFE-0503-44EA-8E4F-EB24C1467A6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226344"/>
              <a:ext cx="1881186" cy="19050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71365</xdr:colOff>
      <xdr:row>6</xdr:row>
      <xdr:rowOff>156052</xdr:rowOff>
    </xdr:from>
    <xdr:to>
      <xdr:col>11</xdr:col>
      <xdr:colOff>345280</xdr:colOff>
      <xdr:row>14</xdr:row>
      <xdr:rowOff>51117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2288B2CF-6A20-C515-63AB-6B99107ADF8A}"/>
            </a:ext>
          </a:extLst>
        </xdr:cNvPr>
        <xdr:cNvGrpSpPr/>
      </xdr:nvGrpSpPr>
      <xdr:grpSpPr>
        <a:xfrm>
          <a:off x="2190678" y="1251427"/>
          <a:ext cx="5738883" cy="1645284"/>
          <a:chOff x="2095500" y="1202532"/>
          <a:chExt cx="4953449" cy="1338262"/>
        </a:xfrm>
      </xdr:grpSpPr>
      <xdr:sp macro="" textlink="">
        <xdr:nvSpPr>
          <xdr:cNvPr id="11" name="Retângulo: Cantos Arredondados 10">
            <a:extLst>
              <a:ext uri="{FF2B5EF4-FFF2-40B4-BE49-F238E27FC236}">
                <a16:creationId xmlns:a16="http://schemas.microsoft.com/office/drawing/2014/main" id="{EA3A411F-2389-0AB4-F890-2B314210E9EC}"/>
              </a:ext>
            </a:extLst>
          </xdr:cNvPr>
          <xdr:cNvSpPr/>
        </xdr:nvSpPr>
        <xdr:spPr>
          <a:xfrm>
            <a:off x="2107406" y="1202532"/>
            <a:ext cx="4941543" cy="1190625"/>
          </a:xfrm>
          <a:prstGeom prst="roundRect">
            <a:avLst>
              <a:gd name="adj" fmla="val 0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F25">
        <xdr:nvSpPr>
          <xdr:cNvPr id="12" name="Retângulo: Cantos Arredondados 11">
            <a:extLst>
              <a:ext uri="{FF2B5EF4-FFF2-40B4-BE49-F238E27FC236}">
                <a16:creationId xmlns:a16="http://schemas.microsoft.com/office/drawing/2014/main" id="{453A131C-19A7-42C0-9E49-9AA5485EF186}"/>
              </a:ext>
            </a:extLst>
          </xdr:cNvPr>
          <xdr:cNvSpPr/>
        </xdr:nvSpPr>
        <xdr:spPr>
          <a:xfrm>
            <a:off x="3595688" y="1488282"/>
            <a:ext cx="2345530" cy="869156"/>
          </a:xfrm>
          <a:prstGeom prst="roundRect">
            <a:avLst>
              <a:gd name="adj" fmla="val 25667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B1BF02E-3C67-495E-B4F7-EC73EDD60D88}" type="TxLink">
              <a:rPr lang="en-US" sz="2800" b="0" i="0" u="none" strike="noStrike">
                <a:solidFill>
                  <a:srgbClr val="22C55E"/>
                </a:solidFill>
                <a:latin typeface="Aptos Narrow"/>
              </a:rPr>
              <a:pPr algn="ctr"/>
              <a:t>R$ 600,00</a:t>
            </a:fld>
            <a:endParaRPr lang="pt-BR" sz="2800">
              <a:solidFill>
                <a:srgbClr val="22C55E"/>
              </a:solidFill>
            </a:endParaRPr>
          </a:p>
        </xdr:txBody>
      </xdr:sp>
      <xdr:pic>
        <xdr:nvPicPr>
          <xdr:cNvPr id="13" name="Imagem 12">
            <a:extLst>
              <a:ext uri="{FF2B5EF4-FFF2-40B4-BE49-F238E27FC236}">
                <a16:creationId xmlns:a16="http://schemas.microsoft.com/office/drawing/2014/main" id="{512B0D7D-BF51-40C0-B5AC-DA8E341F73D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155030" y="1321594"/>
            <a:ext cx="1219200" cy="1219200"/>
          </a:xfrm>
          <a:prstGeom prst="rect">
            <a:avLst/>
          </a:prstGeom>
        </xdr:spPr>
      </xdr:pic>
      <xdr:sp macro="" textlink="">
        <xdr:nvSpPr>
          <xdr:cNvPr id="16" name="Retângulo: Cantos Superiores Arredondados 15">
            <a:extLst>
              <a:ext uri="{FF2B5EF4-FFF2-40B4-BE49-F238E27FC236}">
                <a16:creationId xmlns:a16="http://schemas.microsoft.com/office/drawing/2014/main" id="{C22806AF-EFEC-0349-B1BC-DC9104B684AD}"/>
              </a:ext>
            </a:extLst>
          </xdr:cNvPr>
          <xdr:cNvSpPr/>
        </xdr:nvSpPr>
        <xdr:spPr>
          <a:xfrm>
            <a:off x="2095500" y="1202532"/>
            <a:ext cx="4953449" cy="381000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>
                <a:latin typeface="Segoe UI" panose="020B0502040204020203" pitchFamily="34" charset="0"/>
                <a:cs typeface="Segoe UI" panose="020B0502040204020203" pitchFamily="34" charset="0"/>
              </a:rPr>
              <a:t>TOTA</a:t>
            </a:r>
            <a:r>
              <a:rPr lang="pt-BR" sz="1100" baseline="0">
                <a:latin typeface="Segoe UI" panose="020B0502040204020203" pitchFamily="34" charset="0"/>
                <a:cs typeface="Segoe UI" panose="020B0502040204020203" pitchFamily="34" charset="0"/>
              </a:rPr>
              <a:t>L DE SUBSCRIPTIONS EA PLAY SEASON PASSS</a:t>
            </a:r>
            <a:endParaRPr lang="pt-BR" sz="11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14</xdr:col>
      <xdr:colOff>154781</xdr:colOff>
      <xdr:row>6</xdr:row>
      <xdr:rowOff>144065</xdr:rowOff>
    </xdr:from>
    <xdr:to>
      <xdr:col>24</xdr:col>
      <xdr:colOff>49508</xdr:colOff>
      <xdr:row>13</xdr:row>
      <xdr:rowOff>71437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1DA77AE7-A4ED-C9AA-2979-FB36BF9DE387}"/>
            </a:ext>
          </a:extLst>
        </xdr:cNvPr>
        <xdr:cNvGrpSpPr/>
      </xdr:nvGrpSpPr>
      <xdr:grpSpPr>
        <a:xfrm>
          <a:off x="9394031" y="1239440"/>
          <a:ext cx="5966915" cy="1487091"/>
          <a:chOff x="6504520" y="1202531"/>
          <a:chExt cx="4874777" cy="1261316"/>
        </a:xfrm>
      </xdr:grpSpPr>
      <xdr:grpSp>
        <xdr:nvGrpSpPr>
          <xdr:cNvPr id="18" name="Agrupar 17">
            <a:extLst>
              <a:ext uri="{FF2B5EF4-FFF2-40B4-BE49-F238E27FC236}">
                <a16:creationId xmlns:a16="http://schemas.microsoft.com/office/drawing/2014/main" id="{904F5D8D-6FB1-4AD6-B0F3-797C4E4DACC4}"/>
              </a:ext>
            </a:extLst>
          </xdr:cNvPr>
          <xdr:cNvGrpSpPr/>
        </xdr:nvGrpSpPr>
        <xdr:grpSpPr>
          <a:xfrm>
            <a:off x="6504520" y="1202531"/>
            <a:ext cx="4874777" cy="1261316"/>
            <a:chOff x="1301489" y="1202532"/>
            <a:chExt cx="4874777" cy="1261316"/>
          </a:xfrm>
        </xdr:grpSpPr>
        <xdr:sp macro="" textlink="">
          <xdr:nvSpPr>
            <xdr:cNvPr id="19" name="Retângulo: Cantos Arredondados 18">
              <a:extLst>
                <a:ext uri="{FF2B5EF4-FFF2-40B4-BE49-F238E27FC236}">
                  <a16:creationId xmlns:a16="http://schemas.microsoft.com/office/drawing/2014/main" id="{18D85D5B-8B2C-F2C0-A08D-CD59BFAB8404}"/>
                </a:ext>
              </a:extLst>
            </xdr:cNvPr>
            <xdr:cNvSpPr/>
          </xdr:nvSpPr>
          <xdr:spPr>
            <a:xfrm>
              <a:off x="1322225" y="1273222"/>
              <a:ext cx="4854041" cy="1190626"/>
            </a:xfrm>
            <a:prstGeom prst="roundRect">
              <a:avLst>
                <a:gd name="adj" fmla="val 0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F37">
          <xdr:nvSpPr>
            <xdr:cNvPr id="20" name="Retângulo: Cantos Arredondados 19">
              <a:extLst>
                <a:ext uri="{FF2B5EF4-FFF2-40B4-BE49-F238E27FC236}">
                  <a16:creationId xmlns:a16="http://schemas.microsoft.com/office/drawing/2014/main" id="{9727BC14-017F-5ADA-ABA3-CB58B25E40BC}"/>
                </a:ext>
              </a:extLst>
            </xdr:cNvPr>
            <xdr:cNvSpPr/>
          </xdr:nvSpPr>
          <xdr:spPr>
            <a:xfrm>
              <a:off x="2911956" y="1548874"/>
              <a:ext cx="2345530" cy="869156"/>
            </a:xfrm>
            <a:prstGeom prst="roundRect">
              <a:avLst>
                <a:gd name="adj" fmla="val 25667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13D1623B-CB88-44FA-9C58-9EA738AE01F5}" type="TxLink">
                <a:rPr lang="en-US" sz="2800" b="0" i="0" u="none" strike="noStrike">
                  <a:solidFill>
                    <a:srgbClr val="22C55E"/>
                  </a:solidFill>
                  <a:latin typeface="Aptos Narrow"/>
                </a:rPr>
                <a:pPr algn="ctr"/>
                <a:t>R$ 940,00</a:t>
              </a:fld>
              <a:endParaRPr lang="pt-BR" sz="60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2" name="Retângulo: Cantos Superiores Arredondados 21">
              <a:extLst>
                <a:ext uri="{FF2B5EF4-FFF2-40B4-BE49-F238E27FC236}">
                  <a16:creationId xmlns:a16="http://schemas.microsoft.com/office/drawing/2014/main" id="{EA689334-8074-C0DD-4B56-E5D233BB73B6}"/>
                </a:ext>
              </a:extLst>
            </xdr:cNvPr>
            <xdr:cNvSpPr/>
          </xdr:nvSpPr>
          <xdr:spPr>
            <a:xfrm>
              <a:off x="1301489" y="1202532"/>
              <a:ext cx="4854042" cy="381000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>
                  <a:latin typeface="Segoe UI" panose="020B0502040204020203" pitchFamily="34" charset="0"/>
                  <a:cs typeface="Segoe UI" panose="020B0502040204020203" pitchFamily="34" charset="0"/>
                </a:rPr>
                <a:t>TOTA</a:t>
              </a:r>
              <a:r>
                <a:rPr lang="pt-BR" sz="1100" baseline="0">
                  <a:latin typeface="Segoe UI" panose="020B0502040204020203" pitchFamily="34" charset="0"/>
                  <a:cs typeface="Segoe UI" panose="020B0502040204020203" pitchFamily="34" charset="0"/>
                </a:rPr>
                <a:t>L DE SUBSCRIPTIONS EA PLAY SEASON PASSS</a:t>
              </a:r>
              <a:endParaRPr lang="pt-BR" sz="1100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23" name="Agrupar 22">
            <a:extLst>
              <a:ext uri="{FF2B5EF4-FFF2-40B4-BE49-F238E27FC236}">
                <a16:creationId xmlns:a16="http://schemas.microsoft.com/office/drawing/2014/main" id="{ED574321-79ED-47E7-832B-BEF4B89EA394}"/>
              </a:ext>
            </a:extLst>
          </xdr:cNvPr>
          <xdr:cNvGrpSpPr/>
        </xdr:nvGrpSpPr>
        <xdr:grpSpPr>
          <a:xfrm>
            <a:off x="6772214" y="1600863"/>
            <a:ext cx="1119188" cy="656479"/>
            <a:chOff x="2503268" y="5361757"/>
            <a:chExt cx="1549476" cy="843282"/>
          </a:xfrm>
        </xdr:grpSpPr>
        <xdr:pic>
          <xdr:nvPicPr>
            <xdr:cNvPr id="24" name="Imagem 23">
              <a:extLst>
                <a:ext uri="{FF2B5EF4-FFF2-40B4-BE49-F238E27FC236}">
                  <a16:creationId xmlns:a16="http://schemas.microsoft.com/office/drawing/2014/main" id="{437065E2-A67D-FFA2-A74B-B935BC9EA7D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2914594" y="5361757"/>
              <a:ext cx="555497" cy="609599"/>
            </a:xfrm>
            <a:prstGeom prst="rect">
              <a:avLst/>
            </a:prstGeom>
          </xdr:spPr>
        </xdr:pic>
        <xdr:pic>
          <xdr:nvPicPr>
            <xdr:cNvPr id="25" name="Gráfico 24">
              <a:extLst>
                <a:ext uri="{FF2B5EF4-FFF2-40B4-BE49-F238E27FC236}">
                  <a16:creationId xmlns:a16="http://schemas.microsoft.com/office/drawing/2014/main" id="{8AF7540C-3F80-188A-F499-AC6DDC2DFF1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2503268" y="5947826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11907</xdr:colOff>
      <xdr:row>14</xdr:row>
      <xdr:rowOff>166688</xdr:rowOff>
    </xdr:from>
    <xdr:to>
      <xdr:col>24</xdr:col>
      <xdr:colOff>119062</xdr:colOff>
      <xdr:row>29</xdr:row>
      <xdr:rowOff>9526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D86A5359-6ADA-9C20-0095-4E636DDF3EBD}"/>
            </a:ext>
          </a:extLst>
        </xdr:cNvPr>
        <xdr:cNvGrpSpPr/>
      </xdr:nvGrpSpPr>
      <xdr:grpSpPr>
        <a:xfrm>
          <a:off x="2131220" y="3012282"/>
          <a:ext cx="13299280" cy="2700338"/>
          <a:chOff x="2095501" y="2690813"/>
          <a:chExt cx="9370218" cy="2700338"/>
        </a:xfrm>
      </xdr:grpSpPr>
      <xdr:grpSp>
        <xdr:nvGrpSpPr>
          <xdr:cNvPr id="7" name="Agrupar 6">
            <a:extLst>
              <a:ext uri="{FF2B5EF4-FFF2-40B4-BE49-F238E27FC236}">
                <a16:creationId xmlns:a16="http://schemas.microsoft.com/office/drawing/2014/main" id="{1200D83B-FFFB-8252-FAC9-350C03928036}"/>
              </a:ext>
            </a:extLst>
          </xdr:cNvPr>
          <xdr:cNvGrpSpPr/>
        </xdr:nvGrpSpPr>
        <xdr:grpSpPr>
          <a:xfrm>
            <a:off x="2095501" y="3000375"/>
            <a:ext cx="9370218" cy="2390776"/>
            <a:chOff x="2309813" y="988219"/>
            <a:chExt cx="9370218" cy="2390776"/>
          </a:xfrm>
        </xdr:grpSpPr>
        <xdr:sp macro="" textlink="">
          <xdr:nvSpPr>
            <xdr:cNvPr id="6" name="Retângulo: Cantos Arredondados 5">
              <a:extLst>
                <a:ext uri="{FF2B5EF4-FFF2-40B4-BE49-F238E27FC236}">
                  <a16:creationId xmlns:a16="http://schemas.microsoft.com/office/drawing/2014/main" id="{C6092DC9-E714-3FB2-90ED-38C82021F569}"/>
                </a:ext>
              </a:extLst>
            </xdr:cNvPr>
            <xdr:cNvSpPr/>
          </xdr:nvSpPr>
          <xdr:spPr>
            <a:xfrm>
              <a:off x="2309813" y="988219"/>
              <a:ext cx="9370218" cy="2381250"/>
            </a:xfrm>
            <a:prstGeom prst="roundRect">
              <a:avLst>
                <a:gd name="adj" fmla="val 8000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E15F5ED1-A7E1-451F-B34E-E0EF80F30E19}"/>
                </a:ext>
              </a:extLst>
            </xdr:cNvPr>
            <xdr:cNvGraphicFramePr>
              <a:graphicFrameLocks/>
            </xdr:cNvGraphicFramePr>
          </xdr:nvGraphicFramePr>
          <xdr:xfrm>
            <a:off x="2497932" y="1202532"/>
            <a:ext cx="8872536" cy="2176463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7" name="Retângulo: Cantos Superiores Arredondados 26">
            <a:extLst>
              <a:ext uri="{FF2B5EF4-FFF2-40B4-BE49-F238E27FC236}">
                <a16:creationId xmlns:a16="http://schemas.microsoft.com/office/drawing/2014/main" id="{027389BF-576E-4C31-8250-4D79E5FFD3C2}"/>
              </a:ext>
            </a:extLst>
          </xdr:cNvPr>
          <xdr:cNvSpPr/>
        </xdr:nvSpPr>
        <xdr:spPr>
          <a:xfrm>
            <a:off x="2143126" y="2690813"/>
            <a:ext cx="9310686" cy="468408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>
                <a:latin typeface="Segoe UI" panose="020B0502040204020203" pitchFamily="34" charset="0"/>
                <a:cs typeface="Segoe UI" panose="020B0502040204020203" pitchFamily="34" charset="0"/>
              </a:rPr>
              <a:t>TOTA</a:t>
            </a:r>
            <a:r>
              <a:rPr lang="pt-BR" sz="1100" baseline="0">
                <a:latin typeface="Segoe UI" panose="020B0502040204020203" pitchFamily="34" charset="0"/>
                <a:cs typeface="Segoe UI" panose="020B0502040204020203" pitchFamily="34" charset="0"/>
              </a:rPr>
              <a:t>L DE SUBSCRIPTIONS EA PLAY SEASON PASSS</a:t>
            </a:r>
            <a:endParaRPr lang="pt-BR" sz="11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357188</xdr:colOff>
      <xdr:row>0</xdr:row>
      <xdr:rowOff>107157</xdr:rowOff>
    </xdr:from>
    <xdr:to>
      <xdr:col>0</xdr:col>
      <xdr:colOff>1071562</xdr:colOff>
      <xdr:row>2</xdr:row>
      <xdr:rowOff>76201</xdr:rowOff>
    </xdr:to>
    <xdr:sp macro="" textlink="">
      <xdr:nvSpPr>
        <xdr:cNvPr id="29" name="Elipse 28">
          <a:extLst>
            <a:ext uri="{FF2B5EF4-FFF2-40B4-BE49-F238E27FC236}">
              <a16:creationId xmlns:a16="http://schemas.microsoft.com/office/drawing/2014/main" id="{741E01C0-DB28-432B-86B7-CD596790EF6C}"/>
            </a:ext>
          </a:extLst>
        </xdr:cNvPr>
        <xdr:cNvSpPr/>
      </xdr:nvSpPr>
      <xdr:spPr>
        <a:xfrm>
          <a:off x="357188" y="107157"/>
          <a:ext cx="714374" cy="611982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0</xdr:colOff>
      <xdr:row>4</xdr:row>
      <xdr:rowOff>0</xdr:rowOff>
    </xdr:from>
    <xdr:to>
      <xdr:col>0</xdr:col>
      <xdr:colOff>1845468</xdr:colOff>
      <xdr:row>6</xdr:row>
      <xdr:rowOff>0</xdr:rowOff>
    </xdr:to>
    <xdr:sp macro="" textlink="">
      <xdr:nvSpPr>
        <xdr:cNvPr id="30" name="Retângulo 29">
          <a:extLst>
            <a:ext uri="{FF2B5EF4-FFF2-40B4-BE49-F238E27FC236}">
              <a16:creationId xmlns:a16="http://schemas.microsoft.com/office/drawing/2014/main" id="{15E8DA1E-2825-6F96-1FE4-7CF1B997B38D}"/>
            </a:ext>
          </a:extLst>
        </xdr:cNvPr>
        <xdr:cNvSpPr/>
      </xdr:nvSpPr>
      <xdr:spPr>
        <a:xfrm>
          <a:off x="0" y="845344"/>
          <a:ext cx="1845468" cy="25003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00"/>
            <a:t>BEM  VINDA LIANA</a:t>
          </a:r>
        </a:p>
      </xdr:txBody>
    </xdr:sp>
    <xdr:clientData/>
  </xdr:twoCellAnchor>
  <xdr:twoCellAnchor editAs="absolute">
    <xdr:from>
      <xdr:col>1</xdr:col>
      <xdr:colOff>47624</xdr:colOff>
      <xdr:row>2</xdr:row>
      <xdr:rowOff>11907</xdr:rowOff>
    </xdr:from>
    <xdr:to>
      <xdr:col>6</xdr:col>
      <xdr:colOff>428623</xdr:colOff>
      <xdr:row>4</xdr:row>
      <xdr:rowOff>1</xdr:rowOff>
    </xdr:to>
    <xdr:sp macro="" textlink="">
      <xdr:nvSpPr>
        <xdr:cNvPr id="34" name="Retângulo 33">
          <a:extLst>
            <a:ext uri="{FF2B5EF4-FFF2-40B4-BE49-F238E27FC236}">
              <a16:creationId xmlns:a16="http://schemas.microsoft.com/office/drawing/2014/main" id="{2AD33E52-72EB-495F-A1C4-4A40B7346AC0}"/>
            </a:ext>
          </a:extLst>
        </xdr:cNvPr>
        <xdr:cNvSpPr/>
      </xdr:nvSpPr>
      <xdr:spPr>
        <a:xfrm>
          <a:off x="1928812" y="654845"/>
          <a:ext cx="3047999" cy="1905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aseline="0">
              <a:solidFill>
                <a:schemeClr val="tx1">
                  <a:lumMod val="50000"/>
                  <a:lumOff val="50000"/>
                </a:schemeClr>
              </a:solidFill>
            </a:rPr>
            <a:t>Calculation Period: 01/01/2024 - 31/12/2024</a:t>
          </a:r>
          <a:endParaRPr lang="pt-BR" sz="105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2</xdr:col>
      <xdr:colOff>83344</xdr:colOff>
      <xdr:row>39</xdr:row>
      <xdr:rowOff>177013</xdr:rowOff>
    </xdr:from>
    <xdr:to>
      <xdr:col>13</xdr:col>
      <xdr:colOff>83344</xdr:colOff>
      <xdr:row>57</xdr:row>
      <xdr:rowOff>35716</xdr:rowOff>
    </xdr:to>
    <xdr:grpSp>
      <xdr:nvGrpSpPr>
        <xdr:cNvPr id="56" name="Agrupar 55">
          <a:extLst>
            <a:ext uri="{FF2B5EF4-FFF2-40B4-BE49-F238E27FC236}">
              <a16:creationId xmlns:a16="http://schemas.microsoft.com/office/drawing/2014/main" id="{D3E8DD31-0ACB-B254-B5D4-EE472E7C612B}"/>
            </a:ext>
          </a:extLst>
        </xdr:cNvPr>
        <xdr:cNvGrpSpPr/>
      </xdr:nvGrpSpPr>
      <xdr:grpSpPr>
        <a:xfrm>
          <a:off x="2202657" y="7785107"/>
          <a:ext cx="6512718" cy="3287703"/>
          <a:chOff x="2464594" y="9739313"/>
          <a:chExt cx="6512718" cy="3202778"/>
        </a:xfrm>
      </xdr:grpSpPr>
      <xdr:grpSp>
        <xdr:nvGrpSpPr>
          <xdr:cNvPr id="31" name="Agrupar 30">
            <a:extLst>
              <a:ext uri="{FF2B5EF4-FFF2-40B4-BE49-F238E27FC236}">
                <a16:creationId xmlns:a16="http://schemas.microsoft.com/office/drawing/2014/main" id="{D32F5013-6158-48A3-A031-CBEB3B810ADF}"/>
              </a:ext>
            </a:extLst>
          </xdr:cNvPr>
          <xdr:cNvGrpSpPr/>
        </xdr:nvGrpSpPr>
        <xdr:grpSpPr>
          <a:xfrm>
            <a:off x="2464595" y="9786935"/>
            <a:ext cx="6488907" cy="3155156"/>
            <a:chOff x="2598599" y="9127014"/>
            <a:chExt cx="9560719" cy="2583656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F142E7D6-B2EA-068B-3C1A-325DD6863374}"/>
                </a:ext>
              </a:extLst>
            </xdr:cNvPr>
            <xdr:cNvSpPr/>
          </xdr:nvSpPr>
          <xdr:spPr>
            <a:xfrm>
              <a:off x="2598599" y="9127014"/>
              <a:ext cx="9560719" cy="2583656"/>
            </a:xfrm>
            <a:prstGeom prst="roundRect">
              <a:avLst>
                <a:gd name="adj" fmla="val 10753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F8B2F6F5-8765-4864-8572-5BA44CF12593}"/>
                </a:ext>
              </a:extLst>
            </xdr:cNvPr>
            <xdr:cNvGraphicFramePr>
              <a:graphicFrameLocks/>
            </xdr:cNvGraphicFramePr>
          </xdr:nvGraphicFramePr>
          <xdr:xfrm>
            <a:off x="2789100" y="9127014"/>
            <a:ext cx="9120187" cy="246459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8"/>
            </a:graphicData>
          </a:graphic>
        </xdr:graphicFrame>
      </xdr:grpSp>
      <xdr:sp macro="" textlink="">
        <xdr:nvSpPr>
          <xdr:cNvPr id="35" name="Retângulo: Cantos Superiores Arredondados 34">
            <a:extLst>
              <a:ext uri="{FF2B5EF4-FFF2-40B4-BE49-F238E27FC236}">
                <a16:creationId xmlns:a16="http://schemas.microsoft.com/office/drawing/2014/main" id="{7BE3D083-104E-DB0F-A1E1-993D8A9B5208}"/>
              </a:ext>
            </a:extLst>
          </xdr:cNvPr>
          <xdr:cNvSpPr/>
        </xdr:nvSpPr>
        <xdr:spPr>
          <a:xfrm>
            <a:off x="2464594" y="9739313"/>
            <a:ext cx="6512718" cy="428624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100" b="0" i="0" baseline="0">
                <a:solidFill>
                  <a:schemeClr val="lt1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QUANTIDADE DE ASSINATURAS POR TIPO</a:t>
            </a:r>
            <a:endParaRPr lang="pt-BR" b="0"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l"/>
            <a:endParaRPr lang="pt-BR" sz="1100"/>
          </a:p>
        </xdr:txBody>
      </xdr:sp>
    </xdr:grpSp>
    <xdr:clientData/>
  </xdr:twoCellAnchor>
  <xdr:twoCellAnchor>
    <xdr:from>
      <xdr:col>14</xdr:col>
      <xdr:colOff>333376</xdr:colOff>
      <xdr:row>40</xdr:row>
      <xdr:rowOff>23812</xdr:rowOff>
    </xdr:from>
    <xdr:to>
      <xdr:col>24</xdr:col>
      <xdr:colOff>357189</xdr:colOff>
      <xdr:row>57</xdr:row>
      <xdr:rowOff>35718</xdr:rowOff>
    </xdr:to>
    <xdr:grpSp>
      <xdr:nvGrpSpPr>
        <xdr:cNvPr id="38" name="Agrupar 37">
          <a:extLst>
            <a:ext uri="{FF2B5EF4-FFF2-40B4-BE49-F238E27FC236}">
              <a16:creationId xmlns:a16="http://schemas.microsoft.com/office/drawing/2014/main" id="{290D94E5-B907-C299-2C6D-28C1A3663377}"/>
            </a:ext>
          </a:extLst>
        </xdr:cNvPr>
        <xdr:cNvGrpSpPr/>
      </xdr:nvGrpSpPr>
      <xdr:grpSpPr>
        <a:xfrm>
          <a:off x="9572626" y="7822406"/>
          <a:ext cx="6096001" cy="3250406"/>
          <a:chOff x="9322593" y="6096001"/>
          <a:chExt cx="6096001" cy="3143249"/>
        </a:xfrm>
      </xdr:grpSpPr>
      <xdr:sp macro="" textlink="">
        <xdr:nvSpPr>
          <xdr:cNvPr id="37" name="Retângulo: Cantos Arredondados 36">
            <a:extLst>
              <a:ext uri="{FF2B5EF4-FFF2-40B4-BE49-F238E27FC236}">
                <a16:creationId xmlns:a16="http://schemas.microsoft.com/office/drawing/2014/main" id="{E76E9106-753A-C655-7B21-050D349752F8}"/>
              </a:ext>
            </a:extLst>
          </xdr:cNvPr>
          <xdr:cNvSpPr/>
        </xdr:nvSpPr>
        <xdr:spPr>
          <a:xfrm>
            <a:off x="9322593" y="6096001"/>
            <a:ext cx="6096001" cy="3143249"/>
          </a:xfrm>
          <a:prstGeom prst="roundRect">
            <a:avLst>
              <a:gd name="adj" fmla="val 6612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36" name="Gráfico 35">
            <a:extLst>
              <a:ext uri="{FF2B5EF4-FFF2-40B4-BE49-F238E27FC236}">
                <a16:creationId xmlns:a16="http://schemas.microsoft.com/office/drawing/2014/main" id="{F0D21BD4-404B-4B91-B61E-456F6AE425D6}"/>
              </a:ext>
            </a:extLst>
          </xdr:cNvPr>
          <xdr:cNvGraphicFramePr>
            <a:graphicFrameLocks/>
          </xdr:cNvGraphicFramePr>
        </xdr:nvGraphicFramePr>
        <xdr:xfrm>
          <a:off x="9429751" y="6203157"/>
          <a:ext cx="5893594" cy="286211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</xdr:grpSp>
    <xdr:clientData/>
  </xdr:twoCellAnchor>
  <xdr:twoCellAnchor>
    <xdr:from>
      <xdr:col>14</xdr:col>
      <xdr:colOff>321469</xdr:colOff>
      <xdr:row>39</xdr:row>
      <xdr:rowOff>190499</xdr:rowOff>
    </xdr:from>
    <xdr:to>
      <xdr:col>24</xdr:col>
      <xdr:colOff>357189</xdr:colOff>
      <xdr:row>42</xdr:row>
      <xdr:rowOff>83345</xdr:rowOff>
    </xdr:to>
    <xdr:sp macro="" textlink="">
      <xdr:nvSpPr>
        <xdr:cNvPr id="39" name="Retângulo: Cantos Superiores Arredondados 38">
          <a:extLst>
            <a:ext uri="{FF2B5EF4-FFF2-40B4-BE49-F238E27FC236}">
              <a16:creationId xmlns:a16="http://schemas.microsoft.com/office/drawing/2014/main" id="{EE3C8BCD-E033-6924-97CC-B503F0FF3F0A}"/>
            </a:ext>
          </a:extLst>
        </xdr:cNvPr>
        <xdr:cNvSpPr/>
      </xdr:nvSpPr>
      <xdr:spPr>
        <a:xfrm>
          <a:off x="9560719" y="7798593"/>
          <a:ext cx="6107908" cy="464346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0" i="0" baseline="0">
              <a:solidFill>
                <a:schemeClr val="lt1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FATURAMENTO POR TIPO DE ASSINATURA</a:t>
          </a:r>
          <a:endParaRPr lang="pt-BR">
            <a:effectLst/>
            <a:latin typeface="Segoe UI" panose="020B0502040204020203" pitchFamily="34" charset="0"/>
            <a:cs typeface="Segoe UI" panose="020B0502040204020203" pitchFamily="34" charset="0"/>
          </a:endParaRPr>
        </a:p>
        <a:p>
          <a:pPr algn="l"/>
          <a:endParaRPr lang="pt-BR" sz="1100"/>
        </a:p>
      </xdr:txBody>
    </xdr:sp>
    <xdr:clientData/>
  </xdr:twoCellAnchor>
  <xdr:twoCellAnchor editAs="absolute">
    <xdr:from>
      <xdr:col>5</xdr:col>
      <xdr:colOff>23810</xdr:colOff>
      <xdr:row>58</xdr:row>
      <xdr:rowOff>119063</xdr:rowOff>
    </xdr:from>
    <xdr:to>
      <xdr:col>9</xdr:col>
      <xdr:colOff>142873</xdr:colOff>
      <xdr:row>67</xdr:row>
      <xdr:rowOff>71438</xdr:rowOff>
    </xdr:to>
    <xdr:grpSp>
      <xdr:nvGrpSpPr>
        <xdr:cNvPr id="45" name="Agrupar 44">
          <a:extLst>
            <a:ext uri="{FF2B5EF4-FFF2-40B4-BE49-F238E27FC236}">
              <a16:creationId xmlns:a16="http://schemas.microsoft.com/office/drawing/2014/main" id="{58D61506-BC62-FC64-A207-08FF17B005D0}"/>
            </a:ext>
          </a:extLst>
        </xdr:cNvPr>
        <xdr:cNvGrpSpPr/>
      </xdr:nvGrpSpPr>
      <xdr:grpSpPr>
        <a:xfrm>
          <a:off x="3964779" y="11346657"/>
          <a:ext cx="2547938" cy="1666875"/>
          <a:chOff x="3417093" y="9644062"/>
          <a:chExt cx="2547938" cy="1666875"/>
        </a:xfrm>
      </xdr:grpSpPr>
      <xdr:sp macro="" textlink="">
        <xdr:nvSpPr>
          <xdr:cNvPr id="40" name="Retângulo: Cantos Superiores Arredondados 39">
            <a:extLst>
              <a:ext uri="{FF2B5EF4-FFF2-40B4-BE49-F238E27FC236}">
                <a16:creationId xmlns:a16="http://schemas.microsoft.com/office/drawing/2014/main" id="{844A6472-0813-9912-BFF2-CABADAC0B47E}"/>
              </a:ext>
            </a:extLst>
          </xdr:cNvPr>
          <xdr:cNvSpPr/>
        </xdr:nvSpPr>
        <xdr:spPr>
          <a:xfrm>
            <a:off x="3417093" y="9644062"/>
            <a:ext cx="2547938" cy="1666875"/>
          </a:xfrm>
          <a:prstGeom prst="round2SameRect">
            <a:avLst>
              <a:gd name="adj1" fmla="val 5953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0">
                <a:latin typeface="Segoe UI" panose="020B0502040204020203" pitchFamily="34" charset="0"/>
                <a:cs typeface="Segoe UI" panose="020B0502040204020203" pitchFamily="34" charset="0"/>
              </a:rPr>
              <a:t>Maior valor médio </a:t>
            </a:r>
            <a:endParaRPr lang="en-US" sz="1400" b="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C̳álculos!M45">
        <xdr:nvSpPr>
          <xdr:cNvPr id="43" name="CaixaDeTexto 42">
            <a:extLst>
              <a:ext uri="{FF2B5EF4-FFF2-40B4-BE49-F238E27FC236}">
                <a16:creationId xmlns:a16="http://schemas.microsoft.com/office/drawing/2014/main" id="{CCE77354-E25A-8548-475A-89970D3C844D}"/>
              </a:ext>
            </a:extLst>
          </xdr:cNvPr>
          <xdr:cNvSpPr txBox="1"/>
        </xdr:nvSpPr>
        <xdr:spPr>
          <a:xfrm>
            <a:off x="3994547" y="9858375"/>
            <a:ext cx="1393031" cy="45243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EE38D605-0544-4D8E-ABA9-7C5B6045BF1A}" type="TxLink">
              <a:rPr lang="en-US" sz="2000" b="0" i="0" u="none" strike="noStrike">
                <a:solidFill>
                  <a:schemeClr val="bg1">
                    <a:lumMod val="95000"/>
                  </a:schemeClr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R$ 27,15</a:t>
            </a:fld>
            <a:endParaRPr lang="pt-BR" sz="2000">
              <a:solidFill>
                <a:schemeClr val="bg1">
                  <a:lumMod val="9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C̳álculos!L45">
        <xdr:nvSpPr>
          <xdr:cNvPr id="44" name="CaixaDeTexto 43">
            <a:extLst>
              <a:ext uri="{FF2B5EF4-FFF2-40B4-BE49-F238E27FC236}">
                <a16:creationId xmlns:a16="http://schemas.microsoft.com/office/drawing/2014/main" id="{FB357D22-E476-E4AA-0607-1F5EDF976C51}"/>
              </a:ext>
            </a:extLst>
          </xdr:cNvPr>
          <xdr:cNvSpPr txBox="1"/>
        </xdr:nvSpPr>
        <xdr:spPr>
          <a:xfrm>
            <a:off x="4202906" y="10644189"/>
            <a:ext cx="976313" cy="36909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E00C233B-1741-44C5-8F2C-9003B00B5BAC}" type="TxLink">
              <a:rPr lang="en-US" sz="1400" b="0" i="0" u="none" strike="noStrike">
                <a:solidFill>
                  <a:schemeClr val="bg1">
                    <a:lumMod val="95000"/>
                  </a:schemeClr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Quarterly</a:t>
            </a:fld>
            <a:endParaRPr lang="pt-BR" sz="1400">
              <a:solidFill>
                <a:schemeClr val="bg1">
                  <a:lumMod val="9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17</xdr:col>
      <xdr:colOff>595314</xdr:colOff>
      <xdr:row>58</xdr:row>
      <xdr:rowOff>35719</xdr:rowOff>
    </xdr:from>
    <xdr:to>
      <xdr:col>22</xdr:col>
      <xdr:colOff>107158</xdr:colOff>
      <xdr:row>66</xdr:row>
      <xdr:rowOff>178594</xdr:rowOff>
    </xdr:to>
    <xdr:grpSp>
      <xdr:nvGrpSpPr>
        <xdr:cNvPr id="46" name="Agrupar 45">
          <a:extLst>
            <a:ext uri="{FF2B5EF4-FFF2-40B4-BE49-F238E27FC236}">
              <a16:creationId xmlns:a16="http://schemas.microsoft.com/office/drawing/2014/main" id="{923CC80C-92BE-4FC1-8530-FEB323E849D5}"/>
            </a:ext>
          </a:extLst>
        </xdr:cNvPr>
        <xdr:cNvGrpSpPr/>
      </xdr:nvGrpSpPr>
      <xdr:grpSpPr>
        <a:xfrm>
          <a:off x="11656220" y="11263313"/>
          <a:ext cx="2547938" cy="1666875"/>
          <a:chOff x="3417093" y="9644062"/>
          <a:chExt cx="2547938" cy="1666875"/>
        </a:xfrm>
      </xdr:grpSpPr>
      <xdr:sp macro="" textlink="">
        <xdr:nvSpPr>
          <xdr:cNvPr id="47" name="Retângulo: Cantos Superiores Arredondados 46">
            <a:extLst>
              <a:ext uri="{FF2B5EF4-FFF2-40B4-BE49-F238E27FC236}">
                <a16:creationId xmlns:a16="http://schemas.microsoft.com/office/drawing/2014/main" id="{73500697-29B0-929A-F223-51D4AEE8DCBD}"/>
              </a:ext>
            </a:extLst>
          </xdr:cNvPr>
          <xdr:cNvSpPr/>
        </xdr:nvSpPr>
        <xdr:spPr>
          <a:xfrm>
            <a:off x="3417093" y="9644062"/>
            <a:ext cx="2547938" cy="1666875"/>
          </a:xfrm>
          <a:prstGeom prst="round2SameRect">
            <a:avLst>
              <a:gd name="adj1" fmla="val 5953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>
                <a:latin typeface="Segoe UI" panose="020B0502040204020203" pitchFamily="34" charset="0"/>
                <a:cs typeface="Segoe UI" panose="020B0502040204020203" pitchFamily="34" charset="0"/>
              </a:rPr>
              <a:t>Maior média de cupom</a:t>
            </a:r>
            <a:endParaRPr lang="en-US" sz="1400" b="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C̳álculos!S46">
        <xdr:nvSpPr>
          <xdr:cNvPr id="48" name="CaixaDeTexto 47">
            <a:extLst>
              <a:ext uri="{FF2B5EF4-FFF2-40B4-BE49-F238E27FC236}">
                <a16:creationId xmlns:a16="http://schemas.microsoft.com/office/drawing/2014/main" id="{A9DE009A-036C-05EA-966B-3095C02422D9}"/>
              </a:ext>
            </a:extLst>
          </xdr:cNvPr>
          <xdr:cNvSpPr txBox="1"/>
        </xdr:nvSpPr>
        <xdr:spPr>
          <a:xfrm>
            <a:off x="3994547" y="9858375"/>
            <a:ext cx="1393031" cy="45243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09F179CF-91CE-47CF-8E67-E5104D839FDF}" type="TxLink">
              <a:rPr lang="en-US" sz="2000" b="0" i="0" u="none" strike="noStrike">
                <a:solidFill>
                  <a:schemeClr val="bg1">
                    <a:lumMod val="95000"/>
                  </a:schemeClr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R$ 8,20</a:t>
            </a:fld>
            <a:endParaRPr lang="pt-BR" sz="4000">
              <a:solidFill>
                <a:schemeClr val="bg1">
                  <a:lumMod val="9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C̳álculos!R46">
        <xdr:nvSpPr>
          <xdr:cNvPr id="49" name="CaixaDeTexto 48">
            <a:extLst>
              <a:ext uri="{FF2B5EF4-FFF2-40B4-BE49-F238E27FC236}">
                <a16:creationId xmlns:a16="http://schemas.microsoft.com/office/drawing/2014/main" id="{15115721-396B-0EED-9599-23060456922D}"/>
              </a:ext>
            </a:extLst>
          </xdr:cNvPr>
          <xdr:cNvSpPr txBox="1"/>
        </xdr:nvSpPr>
        <xdr:spPr>
          <a:xfrm>
            <a:off x="4202906" y="10644189"/>
            <a:ext cx="976313" cy="36909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0FFB76DB-17B0-4381-90D1-62945524E7A2}" type="TxLink">
              <a:rPr lang="en-US" sz="1400" b="0" i="0" u="none" strike="noStrike">
                <a:solidFill>
                  <a:schemeClr val="bg1">
                    <a:lumMod val="95000"/>
                  </a:schemeClr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Quarterly</a:t>
            </a:fld>
            <a:endParaRPr lang="pt-BR" sz="1800">
              <a:solidFill>
                <a:schemeClr val="bg1">
                  <a:lumMod val="9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4</xdr:col>
      <xdr:colOff>523875</xdr:colOff>
      <xdr:row>29</xdr:row>
      <xdr:rowOff>142874</xdr:rowOff>
    </xdr:from>
    <xdr:to>
      <xdr:col>9</xdr:col>
      <xdr:colOff>35719</xdr:colOff>
      <xdr:row>38</xdr:row>
      <xdr:rowOff>95249</xdr:rowOff>
    </xdr:to>
    <xdr:grpSp>
      <xdr:nvGrpSpPr>
        <xdr:cNvPr id="57" name="Agrupar 56">
          <a:extLst>
            <a:ext uri="{FF2B5EF4-FFF2-40B4-BE49-F238E27FC236}">
              <a16:creationId xmlns:a16="http://schemas.microsoft.com/office/drawing/2014/main" id="{070F523A-C288-4E9B-AF03-A25362DDB62E}"/>
            </a:ext>
          </a:extLst>
        </xdr:cNvPr>
        <xdr:cNvGrpSpPr/>
      </xdr:nvGrpSpPr>
      <xdr:grpSpPr>
        <a:xfrm>
          <a:off x="3857625" y="5845968"/>
          <a:ext cx="2547938" cy="1666875"/>
          <a:chOff x="3417093" y="9644062"/>
          <a:chExt cx="2547938" cy="1666875"/>
        </a:xfrm>
      </xdr:grpSpPr>
      <xdr:sp macro="" textlink="">
        <xdr:nvSpPr>
          <xdr:cNvPr id="58" name="Retângulo: Cantos Superiores Arredondados 57">
            <a:extLst>
              <a:ext uri="{FF2B5EF4-FFF2-40B4-BE49-F238E27FC236}">
                <a16:creationId xmlns:a16="http://schemas.microsoft.com/office/drawing/2014/main" id="{9ECBB023-37AC-9400-BEC0-238B63848578}"/>
              </a:ext>
            </a:extLst>
          </xdr:cNvPr>
          <xdr:cNvSpPr/>
        </xdr:nvSpPr>
        <xdr:spPr>
          <a:xfrm>
            <a:off x="3417093" y="9644062"/>
            <a:ext cx="2547938" cy="1666875"/>
          </a:xfrm>
          <a:prstGeom prst="round2SameRect">
            <a:avLst>
              <a:gd name="adj1" fmla="val 5953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>
                <a:latin typeface="Segoe UI" panose="020B0502040204020203" pitchFamily="34" charset="0"/>
                <a:cs typeface="Segoe UI" panose="020B0502040204020203" pitchFamily="34" charset="0"/>
              </a:rPr>
              <a:t>Maior adesão ao EA Play</a:t>
            </a:r>
            <a:endParaRPr lang="en-US" sz="1400" b="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C̳álculos!S59">
        <xdr:nvSpPr>
          <xdr:cNvPr id="59" name="CaixaDeTexto 58">
            <a:extLst>
              <a:ext uri="{FF2B5EF4-FFF2-40B4-BE49-F238E27FC236}">
                <a16:creationId xmlns:a16="http://schemas.microsoft.com/office/drawing/2014/main" id="{61C1892E-D771-D4E2-95EA-90FC68BFA3DD}"/>
              </a:ext>
            </a:extLst>
          </xdr:cNvPr>
          <xdr:cNvSpPr txBox="1"/>
        </xdr:nvSpPr>
        <xdr:spPr>
          <a:xfrm>
            <a:off x="3994547" y="9858375"/>
            <a:ext cx="1393031" cy="45243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D581EE97-0A12-4FB2-890B-A904216E8698}" type="TxLink">
              <a:rPr lang="en-US" sz="2000" b="0" i="0" u="none" strike="noStrike">
                <a:solidFill>
                  <a:schemeClr val="bg1">
                    <a:lumMod val="95000"/>
                  </a:schemeClr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38,8%</a:t>
            </a:fld>
            <a:endParaRPr lang="pt-BR" sz="4000">
              <a:solidFill>
                <a:schemeClr val="bg1">
                  <a:lumMod val="9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C̳álculos!R59">
        <xdr:nvSpPr>
          <xdr:cNvPr id="60" name="CaixaDeTexto 59">
            <a:extLst>
              <a:ext uri="{FF2B5EF4-FFF2-40B4-BE49-F238E27FC236}">
                <a16:creationId xmlns:a16="http://schemas.microsoft.com/office/drawing/2014/main" id="{0E87BBF7-8096-7942-7AA3-8E3AF98EFC0D}"/>
              </a:ext>
            </a:extLst>
          </xdr:cNvPr>
          <xdr:cNvSpPr txBox="1"/>
        </xdr:nvSpPr>
        <xdr:spPr>
          <a:xfrm>
            <a:off x="4202906" y="10644189"/>
            <a:ext cx="976313" cy="36909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4FCA7649-1008-449D-9005-0F8749FD34EA}" type="TxLink">
              <a:rPr lang="en-US" sz="1400" b="0" i="0" u="none" strike="noStrike">
                <a:solidFill>
                  <a:schemeClr val="bg1">
                    <a:lumMod val="95000"/>
                  </a:schemeClr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Quarterly</a:t>
            </a:fld>
            <a:endParaRPr lang="pt-BR" sz="1800">
              <a:solidFill>
                <a:schemeClr val="bg1">
                  <a:lumMod val="9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17</xdr:col>
      <xdr:colOff>595312</xdr:colOff>
      <xdr:row>29</xdr:row>
      <xdr:rowOff>119062</xdr:rowOff>
    </xdr:from>
    <xdr:to>
      <xdr:col>22</xdr:col>
      <xdr:colOff>107156</xdr:colOff>
      <xdr:row>38</xdr:row>
      <xdr:rowOff>71437</xdr:rowOff>
    </xdr:to>
    <xdr:grpSp>
      <xdr:nvGrpSpPr>
        <xdr:cNvPr id="61" name="Agrupar 60">
          <a:extLst>
            <a:ext uri="{FF2B5EF4-FFF2-40B4-BE49-F238E27FC236}">
              <a16:creationId xmlns:a16="http://schemas.microsoft.com/office/drawing/2014/main" id="{5203ACC3-09F8-4321-A276-AC7D1DB851A1}"/>
            </a:ext>
          </a:extLst>
        </xdr:cNvPr>
        <xdr:cNvGrpSpPr/>
      </xdr:nvGrpSpPr>
      <xdr:grpSpPr>
        <a:xfrm>
          <a:off x="11656218" y="5822156"/>
          <a:ext cx="2547938" cy="1666875"/>
          <a:chOff x="3417093" y="9644062"/>
          <a:chExt cx="2547938" cy="1666875"/>
        </a:xfrm>
      </xdr:grpSpPr>
      <xdr:sp macro="" textlink="">
        <xdr:nvSpPr>
          <xdr:cNvPr id="62" name="Retângulo: Cantos Superiores Arredondados 61">
            <a:extLst>
              <a:ext uri="{FF2B5EF4-FFF2-40B4-BE49-F238E27FC236}">
                <a16:creationId xmlns:a16="http://schemas.microsoft.com/office/drawing/2014/main" id="{BB197DEA-5FAB-6AC8-DA56-885DA5D6E125}"/>
              </a:ext>
            </a:extLst>
          </xdr:cNvPr>
          <xdr:cNvSpPr/>
        </xdr:nvSpPr>
        <xdr:spPr>
          <a:xfrm>
            <a:off x="3417093" y="9644062"/>
            <a:ext cx="2547938" cy="1666875"/>
          </a:xfrm>
          <a:prstGeom prst="round2SameRect">
            <a:avLst>
              <a:gd name="adj1" fmla="val 5953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>
                <a:latin typeface="Segoe UI" panose="020B0502040204020203" pitchFamily="34" charset="0"/>
                <a:cs typeface="Segoe UI" panose="020B0502040204020203" pitchFamily="34" charset="0"/>
              </a:rPr>
              <a:t>Maior adesão ao Minecraft</a:t>
            </a:r>
            <a:endParaRPr lang="en-US" sz="1400" b="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C̳álculos!V59">
        <xdr:nvSpPr>
          <xdr:cNvPr id="63" name="CaixaDeTexto 62">
            <a:extLst>
              <a:ext uri="{FF2B5EF4-FFF2-40B4-BE49-F238E27FC236}">
                <a16:creationId xmlns:a16="http://schemas.microsoft.com/office/drawing/2014/main" id="{C80B2B62-32F3-21D9-1C79-D7B946D34CE1}"/>
              </a:ext>
            </a:extLst>
          </xdr:cNvPr>
          <xdr:cNvSpPr txBox="1"/>
        </xdr:nvSpPr>
        <xdr:spPr>
          <a:xfrm>
            <a:off x="3994547" y="9858375"/>
            <a:ext cx="1393031" cy="45243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BAF0B3A7-3FF7-48EE-BB31-2F901675B57D}" type="TxLink">
              <a:rPr lang="en-US" sz="2000" b="0" i="0" u="none" strike="noStrike">
                <a:solidFill>
                  <a:schemeClr val="bg1">
                    <a:lumMod val="95000"/>
                  </a:schemeClr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67,1%</a:t>
            </a:fld>
            <a:endParaRPr lang="pt-BR" sz="6600">
              <a:solidFill>
                <a:schemeClr val="bg1">
                  <a:lumMod val="9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C̳álculos!U59">
        <xdr:nvSpPr>
          <xdr:cNvPr id="64" name="CaixaDeTexto 63">
            <a:extLst>
              <a:ext uri="{FF2B5EF4-FFF2-40B4-BE49-F238E27FC236}">
                <a16:creationId xmlns:a16="http://schemas.microsoft.com/office/drawing/2014/main" id="{BD5880E5-2321-D3F8-5884-93FB945075B0}"/>
              </a:ext>
            </a:extLst>
          </xdr:cNvPr>
          <xdr:cNvSpPr txBox="1"/>
        </xdr:nvSpPr>
        <xdr:spPr>
          <a:xfrm>
            <a:off x="4202906" y="10644189"/>
            <a:ext cx="976313" cy="36909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9D866134-71E9-4A8B-926C-4400CD017EBF}" type="TxLink">
              <a:rPr lang="en-US" sz="1400" b="0" i="0" u="none" strike="noStrike">
                <a:solidFill>
                  <a:schemeClr val="bg1">
                    <a:lumMod val="95000"/>
                  </a:schemeClr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Quarterly</a:t>
            </a:fld>
            <a:endParaRPr lang="pt-BR" sz="2400">
              <a:solidFill>
                <a:schemeClr val="bg1">
                  <a:lumMod val="9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nmilly kelle" refreshedDate="46290.825136805557" createdVersion="8" refreshedVersion="8" minRefreshableVersion="3" recordCount="295" xr:uid="{9F4BFD19-7E4D-439A-9F10-245FD16896B4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 count="3">
        <n v="15"/>
        <n v="5"/>
        <n v="10"/>
      </sharedItems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167472639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nmilly kelle" refreshedDate="46292.956355787035" createdVersion="8" refreshedVersion="8" minRefreshableVersion="3" recordCount="293" xr:uid="{15698FC7-1983-4DCE-BC0F-85A0ECF6AD91}">
  <cacheSource type="worksheet">
    <worksheetSource ref="A1:M294" sheet="B̳ases"/>
  </cacheSource>
  <cacheFields count="13">
    <cacheField name="Subscriber ID" numFmtId="0">
      <sharedItems containsSemiMixedTypes="0" containsString="0" containsNumber="1" containsInteger="1" minValue="3231" maxValue="3523"/>
    </cacheField>
    <cacheField name="Name" numFmtId="0">
      <sharedItems/>
    </cacheField>
    <cacheField name="Plan" numFmtId="0">
      <sharedItems/>
    </cacheField>
    <cacheField name="Start Date" numFmtId="14">
      <sharedItems containsSemiMixedTypes="0" containsNonDate="0" containsDate="1" containsString="0" minDate="2024-01-01T00:00:00" maxDate="2024-12-15T00:00:00"/>
    </cacheField>
    <cacheField name="Auto Renewal" numFmtId="0">
      <sharedItems/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 count="15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x v="0"/>
    <x v="0"/>
    <s v="Yes"/>
    <x v="0"/>
    <s v="Yes"/>
    <n v="20"/>
    <n v="5"/>
    <n v="60"/>
  </r>
  <r>
    <n v="3232"/>
    <x v="1"/>
    <x v="1"/>
    <d v="2024-01-15T00:00:00"/>
    <x v="1"/>
    <x v="1"/>
    <x v="1"/>
    <s v="No"/>
    <x v="1"/>
    <s v="No"/>
    <n v="0"/>
    <n v="0"/>
    <n v="5"/>
  </r>
  <r>
    <n v="3233"/>
    <x v="2"/>
    <x v="2"/>
    <d v="2024-02-10T00:00:00"/>
    <x v="0"/>
    <x v="2"/>
    <x v="2"/>
    <s v="No"/>
    <x v="1"/>
    <s v="Yes"/>
    <n v="20"/>
    <n v="10"/>
    <n v="20"/>
  </r>
  <r>
    <n v="3234"/>
    <x v="3"/>
    <x v="0"/>
    <d v="2024-02-20T00:00:00"/>
    <x v="1"/>
    <x v="0"/>
    <x v="0"/>
    <s v="Yes"/>
    <x v="0"/>
    <s v="Yes"/>
    <n v="20"/>
    <n v="3"/>
    <n v="62"/>
  </r>
  <r>
    <n v="3235"/>
    <x v="4"/>
    <x v="1"/>
    <d v="2024-03-05T00:00:00"/>
    <x v="0"/>
    <x v="1"/>
    <x v="0"/>
    <s v="No"/>
    <x v="1"/>
    <s v="No"/>
    <n v="0"/>
    <n v="1"/>
    <n v="4"/>
  </r>
  <r>
    <n v="3236"/>
    <x v="5"/>
    <x v="2"/>
    <d v="2024-03-02T00:00:00"/>
    <x v="1"/>
    <x v="2"/>
    <x v="0"/>
    <s v="No"/>
    <x v="1"/>
    <s v="Yes"/>
    <n v="20"/>
    <n v="2"/>
    <n v="28"/>
  </r>
  <r>
    <n v="3237"/>
    <x v="6"/>
    <x v="0"/>
    <d v="2024-03-03T00:00:00"/>
    <x v="0"/>
    <x v="0"/>
    <x v="2"/>
    <s v="Yes"/>
    <x v="0"/>
    <s v="Yes"/>
    <n v="20"/>
    <n v="10"/>
    <n v="55"/>
  </r>
  <r>
    <n v="3238"/>
    <x v="7"/>
    <x v="1"/>
    <d v="2024-03-04T00:00:00"/>
    <x v="0"/>
    <x v="1"/>
    <x v="1"/>
    <s v="No"/>
    <x v="1"/>
    <s v="No"/>
    <n v="0"/>
    <n v="0"/>
    <n v="5"/>
  </r>
  <r>
    <n v="3239"/>
    <x v="8"/>
    <x v="0"/>
    <d v="2024-03-05T00:00:00"/>
    <x v="1"/>
    <x v="0"/>
    <x v="0"/>
    <s v="Yes"/>
    <x v="0"/>
    <s v="Yes"/>
    <n v="20"/>
    <n v="5"/>
    <n v="60"/>
  </r>
  <r>
    <n v="3240"/>
    <x v="9"/>
    <x v="2"/>
    <d v="2024-03-06T00:00:00"/>
    <x v="0"/>
    <x v="2"/>
    <x v="2"/>
    <s v="No"/>
    <x v="1"/>
    <s v="Yes"/>
    <n v="20"/>
    <n v="15"/>
    <n v="15"/>
  </r>
  <r>
    <n v="3241"/>
    <x v="10"/>
    <x v="1"/>
    <d v="2024-03-07T00:00:00"/>
    <x v="1"/>
    <x v="1"/>
    <x v="0"/>
    <s v="No"/>
    <x v="1"/>
    <s v="No"/>
    <n v="0"/>
    <n v="1"/>
    <n v="4"/>
  </r>
  <r>
    <n v="3242"/>
    <x v="11"/>
    <x v="0"/>
    <d v="2024-03-08T00:00:00"/>
    <x v="0"/>
    <x v="0"/>
    <x v="1"/>
    <s v="Yes"/>
    <x v="0"/>
    <s v="Yes"/>
    <n v="20"/>
    <n v="20"/>
    <n v="45"/>
  </r>
  <r>
    <n v="3243"/>
    <x v="12"/>
    <x v="2"/>
    <d v="2024-03-09T00:00:00"/>
    <x v="1"/>
    <x v="2"/>
    <x v="0"/>
    <s v="No"/>
    <x v="1"/>
    <s v="Yes"/>
    <n v="20"/>
    <n v="10"/>
    <n v="20"/>
  </r>
  <r>
    <n v="3244"/>
    <x v="13"/>
    <x v="1"/>
    <d v="2024-03-10T00:00:00"/>
    <x v="0"/>
    <x v="1"/>
    <x v="2"/>
    <s v="No"/>
    <x v="1"/>
    <s v="No"/>
    <n v="0"/>
    <n v="0"/>
    <n v="5"/>
  </r>
  <r>
    <n v="3245"/>
    <x v="14"/>
    <x v="0"/>
    <d v="2024-03-11T00:00:00"/>
    <x v="1"/>
    <x v="0"/>
    <x v="0"/>
    <s v="Yes"/>
    <x v="0"/>
    <s v="Yes"/>
    <n v="20"/>
    <n v="8"/>
    <n v="57"/>
  </r>
  <r>
    <n v="3246"/>
    <x v="15"/>
    <x v="2"/>
    <d v="2024-03-12T00:00:00"/>
    <x v="0"/>
    <x v="2"/>
    <x v="1"/>
    <s v="No"/>
    <x v="1"/>
    <s v="Yes"/>
    <n v="20"/>
    <n v="12"/>
    <n v="18"/>
  </r>
  <r>
    <n v="3247"/>
    <x v="16"/>
    <x v="1"/>
    <d v="2024-03-13T00:00:00"/>
    <x v="1"/>
    <x v="1"/>
    <x v="0"/>
    <s v="No"/>
    <x v="1"/>
    <s v="No"/>
    <n v="0"/>
    <n v="2"/>
    <n v="3"/>
  </r>
  <r>
    <n v="3248"/>
    <x v="17"/>
    <x v="0"/>
    <d v="2024-03-14T00:00:00"/>
    <x v="0"/>
    <x v="0"/>
    <x v="2"/>
    <s v="Yes"/>
    <x v="0"/>
    <s v="Yes"/>
    <n v="20"/>
    <n v="7"/>
    <n v="58"/>
  </r>
  <r>
    <n v="3249"/>
    <x v="18"/>
    <x v="2"/>
    <d v="2024-03-15T00:00:00"/>
    <x v="1"/>
    <x v="2"/>
    <x v="0"/>
    <s v="No"/>
    <x v="1"/>
    <s v="Yes"/>
    <n v="20"/>
    <n v="5"/>
    <n v="25"/>
  </r>
  <r>
    <n v="3250"/>
    <x v="19"/>
    <x v="1"/>
    <d v="2024-03-16T00:00:00"/>
    <x v="0"/>
    <x v="1"/>
    <x v="1"/>
    <s v="No"/>
    <x v="1"/>
    <s v="No"/>
    <n v="0"/>
    <n v="0"/>
    <n v="5"/>
  </r>
  <r>
    <n v="3251"/>
    <x v="20"/>
    <x v="0"/>
    <d v="2024-03-17T00:00:00"/>
    <x v="1"/>
    <x v="0"/>
    <x v="0"/>
    <s v="Yes"/>
    <x v="0"/>
    <s v="Yes"/>
    <n v="20"/>
    <n v="3"/>
    <n v="62"/>
  </r>
  <r>
    <n v="3252"/>
    <x v="21"/>
    <x v="2"/>
    <d v="2024-03-18T00:00:00"/>
    <x v="0"/>
    <x v="2"/>
    <x v="2"/>
    <s v="No"/>
    <x v="1"/>
    <s v="Yes"/>
    <n v="20"/>
    <n v="15"/>
    <n v="15"/>
  </r>
  <r>
    <n v="3253"/>
    <x v="22"/>
    <x v="1"/>
    <d v="2024-03-19T00:00:00"/>
    <x v="1"/>
    <x v="1"/>
    <x v="0"/>
    <s v="No"/>
    <x v="1"/>
    <s v="No"/>
    <n v="0"/>
    <n v="1"/>
    <n v="4"/>
  </r>
  <r>
    <n v="3254"/>
    <x v="23"/>
    <x v="0"/>
    <d v="2024-03-20T00:00:00"/>
    <x v="0"/>
    <x v="0"/>
    <x v="1"/>
    <s v="Yes"/>
    <x v="0"/>
    <s v="Yes"/>
    <n v="20"/>
    <n v="20"/>
    <n v="45"/>
  </r>
  <r>
    <n v="3255"/>
    <x v="24"/>
    <x v="2"/>
    <d v="2024-03-21T00:00:00"/>
    <x v="1"/>
    <x v="2"/>
    <x v="0"/>
    <s v="No"/>
    <x v="1"/>
    <s v="Yes"/>
    <n v="20"/>
    <n v="10"/>
    <n v="20"/>
  </r>
  <r>
    <n v="3256"/>
    <x v="25"/>
    <x v="1"/>
    <d v="2024-03-22T00:00:00"/>
    <x v="0"/>
    <x v="1"/>
    <x v="2"/>
    <s v="No"/>
    <x v="1"/>
    <s v="No"/>
    <n v="0"/>
    <n v="0"/>
    <n v="5"/>
  </r>
  <r>
    <n v="3257"/>
    <x v="26"/>
    <x v="0"/>
    <d v="2024-03-23T00:00:00"/>
    <x v="1"/>
    <x v="0"/>
    <x v="0"/>
    <s v="Yes"/>
    <x v="0"/>
    <s v="Yes"/>
    <n v="20"/>
    <n v="5"/>
    <n v="60"/>
  </r>
  <r>
    <n v="3258"/>
    <x v="27"/>
    <x v="2"/>
    <d v="2024-03-24T00:00:00"/>
    <x v="0"/>
    <x v="2"/>
    <x v="1"/>
    <s v="No"/>
    <x v="1"/>
    <s v="Yes"/>
    <n v="20"/>
    <n v="15"/>
    <n v="15"/>
  </r>
  <r>
    <n v="3259"/>
    <x v="28"/>
    <x v="1"/>
    <d v="2024-03-25T00:00:00"/>
    <x v="1"/>
    <x v="1"/>
    <x v="0"/>
    <s v="No"/>
    <x v="1"/>
    <s v="No"/>
    <n v="0"/>
    <n v="1"/>
    <n v="4"/>
  </r>
  <r>
    <n v="3260"/>
    <x v="29"/>
    <x v="0"/>
    <d v="2024-03-26T00:00:00"/>
    <x v="0"/>
    <x v="0"/>
    <x v="2"/>
    <s v="Yes"/>
    <x v="0"/>
    <s v="Yes"/>
    <n v="20"/>
    <n v="7"/>
    <n v="58"/>
  </r>
  <r>
    <n v="3261"/>
    <x v="30"/>
    <x v="2"/>
    <d v="2024-03-27T00:00:00"/>
    <x v="1"/>
    <x v="2"/>
    <x v="0"/>
    <s v="No"/>
    <x v="1"/>
    <s v="Yes"/>
    <n v="20"/>
    <n v="10"/>
    <n v="20"/>
  </r>
  <r>
    <n v="3262"/>
    <x v="31"/>
    <x v="1"/>
    <d v="2024-03-28T00:00:00"/>
    <x v="0"/>
    <x v="1"/>
    <x v="1"/>
    <s v="No"/>
    <x v="1"/>
    <s v="No"/>
    <n v="0"/>
    <n v="0"/>
    <n v="5"/>
  </r>
  <r>
    <n v="3263"/>
    <x v="32"/>
    <x v="0"/>
    <d v="2024-03-29T00:00:00"/>
    <x v="1"/>
    <x v="0"/>
    <x v="0"/>
    <s v="Yes"/>
    <x v="0"/>
    <s v="Yes"/>
    <n v="20"/>
    <n v="3"/>
    <n v="62"/>
  </r>
  <r>
    <n v="3264"/>
    <x v="33"/>
    <x v="2"/>
    <d v="2024-03-30T00:00:00"/>
    <x v="0"/>
    <x v="2"/>
    <x v="2"/>
    <s v="No"/>
    <x v="1"/>
    <s v="Yes"/>
    <n v="20"/>
    <n v="15"/>
    <n v="15"/>
  </r>
  <r>
    <n v="3265"/>
    <x v="34"/>
    <x v="1"/>
    <d v="2024-03-31T00:00:00"/>
    <x v="1"/>
    <x v="1"/>
    <x v="0"/>
    <s v="No"/>
    <x v="1"/>
    <s v="No"/>
    <n v="0"/>
    <n v="1"/>
    <n v="4"/>
  </r>
  <r>
    <n v="3266"/>
    <x v="35"/>
    <x v="1"/>
    <d v="2024-04-01T00:00:00"/>
    <x v="0"/>
    <x v="1"/>
    <x v="0"/>
    <s v="No"/>
    <x v="1"/>
    <s v="No"/>
    <n v="0"/>
    <n v="0"/>
    <n v="5"/>
  </r>
  <r>
    <n v="3267"/>
    <x v="36"/>
    <x v="0"/>
    <d v="2024-04-02T00:00:00"/>
    <x v="1"/>
    <x v="0"/>
    <x v="2"/>
    <s v="Yes"/>
    <x v="0"/>
    <s v="Yes"/>
    <n v="20"/>
    <n v="7"/>
    <n v="58"/>
  </r>
  <r>
    <n v="3268"/>
    <x v="37"/>
    <x v="2"/>
    <d v="2024-04-03T00:00:00"/>
    <x v="0"/>
    <x v="2"/>
    <x v="1"/>
    <s v="No"/>
    <x v="1"/>
    <s v="Yes"/>
    <n v="20"/>
    <n v="10"/>
    <n v="20"/>
  </r>
  <r>
    <n v="3269"/>
    <x v="38"/>
    <x v="1"/>
    <d v="2024-04-04T00:00:00"/>
    <x v="1"/>
    <x v="1"/>
    <x v="2"/>
    <s v="No"/>
    <x v="1"/>
    <s v="No"/>
    <n v="0"/>
    <n v="1"/>
    <n v="4"/>
  </r>
  <r>
    <n v="3270"/>
    <x v="39"/>
    <x v="0"/>
    <d v="2024-04-05T00:00:00"/>
    <x v="0"/>
    <x v="0"/>
    <x v="0"/>
    <s v="Yes"/>
    <x v="0"/>
    <s v="Yes"/>
    <n v="20"/>
    <n v="15"/>
    <n v="50"/>
  </r>
  <r>
    <n v="3271"/>
    <x v="40"/>
    <x v="2"/>
    <d v="2024-04-06T00:00:00"/>
    <x v="1"/>
    <x v="2"/>
    <x v="0"/>
    <s v="No"/>
    <x v="1"/>
    <s v="Yes"/>
    <n v="20"/>
    <n v="5"/>
    <n v="25"/>
  </r>
  <r>
    <n v="3272"/>
    <x v="41"/>
    <x v="1"/>
    <d v="2024-04-07T00:00:00"/>
    <x v="0"/>
    <x v="1"/>
    <x v="1"/>
    <s v="No"/>
    <x v="1"/>
    <s v="No"/>
    <n v="0"/>
    <n v="0"/>
    <n v="5"/>
  </r>
  <r>
    <n v="3273"/>
    <x v="42"/>
    <x v="0"/>
    <d v="2024-04-08T00:00:00"/>
    <x v="1"/>
    <x v="0"/>
    <x v="2"/>
    <s v="Yes"/>
    <x v="0"/>
    <s v="Yes"/>
    <n v="20"/>
    <n v="20"/>
    <n v="45"/>
  </r>
  <r>
    <n v="3274"/>
    <x v="43"/>
    <x v="2"/>
    <d v="2024-04-09T00:00:00"/>
    <x v="0"/>
    <x v="2"/>
    <x v="2"/>
    <s v="No"/>
    <x v="1"/>
    <s v="Yes"/>
    <n v="20"/>
    <n v="12"/>
    <n v="18"/>
  </r>
  <r>
    <n v="3275"/>
    <x v="44"/>
    <x v="1"/>
    <d v="2024-04-10T00:00:00"/>
    <x v="1"/>
    <x v="1"/>
    <x v="0"/>
    <s v="No"/>
    <x v="1"/>
    <s v="No"/>
    <n v="0"/>
    <n v="2"/>
    <n v="3"/>
  </r>
  <r>
    <n v="3276"/>
    <x v="45"/>
    <x v="0"/>
    <d v="2024-04-11T00:00:00"/>
    <x v="0"/>
    <x v="0"/>
    <x v="1"/>
    <s v="Yes"/>
    <x v="0"/>
    <s v="Yes"/>
    <n v="20"/>
    <n v="5"/>
    <n v="60"/>
  </r>
  <r>
    <n v="3277"/>
    <x v="46"/>
    <x v="2"/>
    <d v="2024-04-12T00:00:00"/>
    <x v="1"/>
    <x v="2"/>
    <x v="0"/>
    <s v="No"/>
    <x v="1"/>
    <s v="Yes"/>
    <n v="20"/>
    <n v="10"/>
    <n v="20"/>
  </r>
  <r>
    <n v="3278"/>
    <x v="47"/>
    <x v="1"/>
    <d v="2024-04-13T00:00:00"/>
    <x v="0"/>
    <x v="1"/>
    <x v="2"/>
    <s v="No"/>
    <x v="1"/>
    <s v="No"/>
    <n v="0"/>
    <n v="0"/>
    <n v="5"/>
  </r>
  <r>
    <n v="3279"/>
    <x v="48"/>
    <x v="0"/>
    <d v="2024-04-14T00:00:00"/>
    <x v="1"/>
    <x v="0"/>
    <x v="0"/>
    <s v="Yes"/>
    <x v="0"/>
    <s v="Yes"/>
    <n v="20"/>
    <n v="3"/>
    <n v="62"/>
  </r>
  <r>
    <n v="3280"/>
    <x v="49"/>
    <x v="2"/>
    <d v="2024-04-15T00:00:00"/>
    <x v="0"/>
    <x v="2"/>
    <x v="1"/>
    <s v="No"/>
    <x v="1"/>
    <s v="Yes"/>
    <n v="20"/>
    <n v="15"/>
    <n v="15"/>
  </r>
  <r>
    <n v="3281"/>
    <x v="50"/>
    <x v="1"/>
    <d v="2024-04-16T00:00:00"/>
    <x v="1"/>
    <x v="1"/>
    <x v="0"/>
    <s v="No"/>
    <x v="1"/>
    <s v="No"/>
    <n v="0"/>
    <n v="1"/>
    <n v="4"/>
  </r>
  <r>
    <n v="3282"/>
    <x v="51"/>
    <x v="0"/>
    <d v="2024-04-17T00:00:00"/>
    <x v="0"/>
    <x v="0"/>
    <x v="2"/>
    <s v="Yes"/>
    <x v="0"/>
    <s v="Yes"/>
    <n v="20"/>
    <n v="7"/>
    <n v="58"/>
  </r>
  <r>
    <n v="3283"/>
    <x v="52"/>
    <x v="2"/>
    <d v="2024-04-18T00:00:00"/>
    <x v="1"/>
    <x v="2"/>
    <x v="0"/>
    <s v="No"/>
    <x v="1"/>
    <s v="Yes"/>
    <n v="20"/>
    <n v="10"/>
    <n v="20"/>
  </r>
  <r>
    <n v="3284"/>
    <x v="53"/>
    <x v="1"/>
    <d v="2024-04-19T00:00:00"/>
    <x v="0"/>
    <x v="1"/>
    <x v="1"/>
    <s v="No"/>
    <x v="1"/>
    <s v="No"/>
    <n v="0"/>
    <n v="0"/>
    <n v="5"/>
  </r>
  <r>
    <n v="3285"/>
    <x v="54"/>
    <x v="0"/>
    <d v="2024-04-20T00:00:00"/>
    <x v="1"/>
    <x v="0"/>
    <x v="0"/>
    <s v="Yes"/>
    <x v="0"/>
    <s v="Yes"/>
    <n v="20"/>
    <n v="20"/>
    <n v="45"/>
  </r>
  <r>
    <n v="3286"/>
    <x v="55"/>
    <x v="2"/>
    <d v="2024-04-21T00:00:00"/>
    <x v="0"/>
    <x v="2"/>
    <x v="2"/>
    <s v="No"/>
    <x v="1"/>
    <s v="Yes"/>
    <n v="20"/>
    <n v="15"/>
    <n v="15"/>
  </r>
  <r>
    <n v="3287"/>
    <x v="56"/>
    <x v="1"/>
    <d v="2024-04-22T00:00:00"/>
    <x v="1"/>
    <x v="1"/>
    <x v="0"/>
    <s v="No"/>
    <x v="1"/>
    <s v="No"/>
    <n v="0"/>
    <n v="1"/>
    <n v="4"/>
  </r>
  <r>
    <n v="3288"/>
    <x v="57"/>
    <x v="0"/>
    <d v="2024-04-23T00:00:00"/>
    <x v="0"/>
    <x v="0"/>
    <x v="1"/>
    <s v="Yes"/>
    <x v="0"/>
    <s v="Yes"/>
    <n v="20"/>
    <n v="3"/>
    <n v="62"/>
  </r>
  <r>
    <n v="3289"/>
    <x v="58"/>
    <x v="2"/>
    <d v="2024-04-24T00:00:00"/>
    <x v="1"/>
    <x v="2"/>
    <x v="0"/>
    <s v="No"/>
    <x v="1"/>
    <s v="Yes"/>
    <n v="20"/>
    <n v="10"/>
    <n v="20"/>
  </r>
  <r>
    <n v="3290"/>
    <x v="59"/>
    <x v="1"/>
    <d v="2024-04-25T00:00:00"/>
    <x v="0"/>
    <x v="1"/>
    <x v="2"/>
    <s v="No"/>
    <x v="1"/>
    <s v="No"/>
    <n v="0"/>
    <n v="0"/>
    <n v="5"/>
  </r>
  <r>
    <n v="3291"/>
    <x v="60"/>
    <x v="0"/>
    <d v="2024-04-26T00:00:00"/>
    <x v="1"/>
    <x v="0"/>
    <x v="0"/>
    <s v="Yes"/>
    <x v="0"/>
    <s v="Yes"/>
    <n v="20"/>
    <n v="5"/>
    <n v="60"/>
  </r>
  <r>
    <n v="3292"/>
    <x v="61"/>
    <x v="2"/>
    <d v="2024-04-27T00:00:00"/>
    <x v="0"/>
    <x v="2"/>
    <x v="1"/>
    <s v="No"/>
    <x v="1"/>
    <s v="Yes"/>
    <n v="20"/>
    <n v="15"/>
    <n v="15"/>
  </r>
  <r>
    <n v="3293"/>
    <x v="62"/>
    <x v="1"/>
    <d v="2024-04-28T00:00:00"/>
    <x v="1"/>
    <x v="1"/>
    <x v="0"/>
    <s v="No"/>
    <x v="1"/>
    <s v="No"/>
    <n v="0"/>
    <n v="1"/>
    <n v="4"/>
  </r>
  <r>
    <n v="3294"/>
    <x v="63"/>
    <x v="0"/>
    <d v="2024-04-29T00:00:00"/>
    <x v="0"/>
    <x v="0"/>
    <x v="2"/>
    <s v="Yes"/>
    <x v="0"/>
    <s v="Yes"/>
    <n v="20"/>
    <n v="20"/>
    <n v="45"/>
  </r>
  <r>
    <n v="3295"/>
    <x v="64"/>
    <x v="2"/>
    <d v="2024-04-30T00:00:00"/>
    <x v="1"/>
    <x v="2"/>
    <x v="0"/>
    <s v="No"/>
    <x v="1"/>
    <s v="Yes"/>
    <n v="20"/>
    <n v="5"/>
    <n v="25"/>
  </r>
  <r>
    <n v="3296"/>
    <x v="65"/>
    <x v="1"/>
    <d v="2024-05-01T00:00:00"/>
    <x v="1"/>
    <x v="1"/>
    <x v="0"/>
    <s v="No"/>
    <x v="1"/>
    <s v="No"/>
    <n v="0"/>
    <n v="0"/>
    <n v="5"/>
  </r>
  <r>
    <n v="3297"/>
    <x v="66"/>
    <x v="0"/>
    <d v="2024-05-02T00:00:00"/>
    <x v="0"/>
    <x v="0"/>
    <x v="2"/>
    <s v="Yes"/>
    <x v="0"/>
    <s v="Yes"/>
    <n v="20"/>
    <n v="7"/>
    <n v="58"/>
  </r>
  <r>
    <n v="3298"/>
    <x v="67"/>
    <x v="2"/>
    <d v="2024-05-03T00:00:00"/>
    <x v="1"/>
    <x v="2"/>
    <x v="1"/>
    <s v="No"/>
    <x v="1"/>
    <s v="Yes"/>
    <n v="20"/>
    <n v="10"/>
    <n v="20"/>
  </r>
  <r>
    <n v="3299"/>
    <x v="68"/>
    <x v="1"/>
    <d v="2024-05-04T00:00:00"/>
    <x v="0"/>
    <x v="1"/>
    <x v="2"/>
    <s v="No"/>
    <x v="1"/>
    <s v="No"/>
    <n v="0"/>
    <n v="1"/>
    <n v="4"/>
  </r>
  <r>
    <n v="3300"/>
    <x v="69"/>
    <x v="0"/>
    <d v="2024-05-05T00:00:00"/>
    <x v="1"/>
    <x v="0"/>
    <x v="0"/>
    <s v="Yes"/>
    <x v="0"/>
    <s v="Yes"/>
    <n v="20"/>
    <n v="15"/>
    <n v="50"/>
  </r>
  <r>
    <n v="3301"/>
    <x v="70"/>
    <x v="2"/>
    <d v="2024-05-06T00:00:00"/>
    <x v="0"/>
    <x v="2"/>
    <x v="0"/>
    <s v="No"/>
    <x v="1"/>
    <s v="Yes"/>
    <n v="20"/>
    <n v="5"/>
    <n v="25"/>
  </r>
  <r>
    <n v="3302"/>
    <x v="71"/>
    <x v="1"/>
    <d v="2024-05-07T00:00:00"/>
    <x v="1"/>
    <x v="1"/>
    <x v="1"/>
    <s v="No"/>
    <x v="1"/>
    <s v="No"/>
    <n v="0"/>
    <n v="0"/>
    <n v="5"/>
  </r>
  <r>
    <n v="3303"/>
    <x v="72"/>
    <x v="0"/>
    <d v="2024-05-08T00:00:00"/>
    <x v="0"/>
    <x v="0"/>
    <x v="2"/>
    <s v="Yes"/>
    <x v="0"/>
    <s v="Yes"/>
    <n v="20"/>
    <n v="20"/>
    <n v="45"/>
  </r>
  <r>
    <n v="3304"/>
    <x v="73"/>
    <x v="2"/>
    <d v="2024-05-09T00:00:00"/>
    <x v="1"/>
    <x v="2"/>
    <x v="2"/>
    <s v="No"/>
    <x v="1"/>
    <s v="Yes"/>
    <n v="20"/>
    <n v="12"/>
    <n v="18"/>
  </r>
  <r>
    <n v="3305"/>
    <x v="74"/>
    <x v="1"/>
    <d v="2024-05-10T00:00:00"/>
    <x v="0"/>
    <x v="1"/>
    <x v="0"/>
    <s v="No"/>
    <x v="1"/>
    <s v="No"/>
    <n v="0"/>
    <n v="2"/>
    <n v="3"/>
  </r>
  <r>
    <n v="3306"/>
    <x v="75"/>
    <x v="0"/>
    <d v="2024-05-11T00:00:00"/>
    <x v="1"/>
    <x v="0"/>
    <x v="1"/>
    <s v="Yes"/>
    <x v="0"/>
    <s v="Yes"/>
    <n v="20"/>
    <n v="5"/>
    <n v="60"/>
  </r>
  <r>
    <n v="3307"/>
    <x v="76"/>
    <x v="2"/>
    <d v="2024-05-12T00:00:00"/>
    <x v="0"/>
    <x v="2"/>
    <x v="0"/>
    <s v="No"/>
    <x v="1"/>
    <s v="Yes"/>
    <n v="20"/>
    <n v="10"/>
    <n v="20"/>
  </r>
  <r>
    <n v="3308"/>
    <x v="77"/>
    <x v="1"/>
    <d v="2024-05-13T00:00:00"/>
    <x v="1"/>
    <x v="1"/>
    <x v="2"/>
    <s v="No"/>
    <x v="1"/>
    <s v="No"/>
    <n v="0"/>
    <n v="0"/>
    <n v="5"/>
  </r>
  <r>
    <n v="3309"/>
    <x v="78"/>
    <x v="0"/>
    <d v="2024-05-14T00:00:00"/>
    <x v="0"/>
    <x v="0"/>
    <x v="0"/>
    <s v="Yes"/>
    <x v="0"/>
    <s v="Yes"/>
    <n v="20"/>
    <n v="3"/>
    <n v="62"/>
  </r>
  <r>
    <n v="3310"/>
    <x v="79"/>
    <x v="2"/>
    <d v="2024-05-15T00:00:00"/>
    <x v="1"/>
    <x v="2"/>
    <x v="1"/>
    <s v="No"/>
    <x v="1"/>
    <s v="Yes"/>
    <n v="20"/>
    <n v="15"/>
    <n v="15"/>
  </r>
  <r>
    <n v="3311"/>
    <x v="80"/>
    <x v="1"/>
    <d v="2024-05-16T00:00:00"/>
    <x v="0"/>
    <x v="1"/>
    <x v="0"/>
    <s v="No"/>
    <x v="1"/>
    <s v="No"/>
    <n v="0"/>
    <n v="1"/>
    <n v="4"/>
  </r>
  <r>
    <n v="3312"/>
    <x v="81"/>
    <x v="0"/>
    <d v="2024-05-17T00:00:00"/>
    <x v="1"/>
    <x v="0"/>
    <x v="2"/>
    <s v="Yes"/>
    <x v="0"/>
    <s v="Yes"/>
    <n v="20"/>
    <n v="7"/>
    <n v="58"/>
  </r>
  <r>
    <n v="3313"/>
    <x v="82"/>
    <x v="2"/>
    <d v="2024-05-18T00:00:00"/>
    <x v="0"/>
    <x v="2"/>
    <x v="0"/>
    <s v="No"/>
    <x v="1"/>
    <s v="Yes"/>
    <n v="20"/>
    <n v="10"/>
    <n v="20"/>
  </r>
  <r>
    <n v="3314"/>
    <x v="83"/>
    <x v="1"/>
    <d v="2024-05-19T00:00:00"/>
    <x v="1"/>
    <x v="1"/>
    <x v="1"/>
    <s v="No"/>
    <x v="1"/>
    <s v="No"/>
    <n v="0"/>
    <n v="0"/>
    <n v="5"/>
  </r>
  <r>
    <n v="3315"/>
    <x v="84"/>
    <x v="0"/>
    <d v="2024-05-20T00:00:00"/>
    <x v="0"/>
    <x v="0"/>
    <x v="0"/>
    <s v="Yes"/>
    <x v="0"/>
    <s v="Yes"/>
    <n v="20"/>
    <n v="20"/>
    <n v="45"/>
  </r>
  <r>
    <n v="3316"/>
    <x v="85"/>
    <x v="2"/>
    <d v="2024-05-21T00:00:00"/>
    <x v="1"/>
    <x v="2"/>
    <x v="2"/>
    <s v="No"/>
    <x v="1"/>
    <s v="Yes"/>
    <n v="20"/>
    <n v="15"/>
    <n v="15"/>
  </r>
  <r>
    <n v="3317"/>
    <x v="86"/>
    <x v="1"/>
    <d v="2024-05-22T00:00:00"/>
    <x v="0"/>
    <x v="1"/>
    <x v="0"/>
    <s v="No"/>
    <x v="1"/>
    <s v="No"/>
    <n v="0"/>
    <n v="1"/>
    <n v="4"/>
  </r>
  <r>
    <n v="3318"/>
    <x v="87"/>
    <x v="0"/>
    <d v="2024-05-23T00:00:00"/>
    <x v="1"/>
    <x v="0"/>
    <x v="1"/>
    <s v="Yes"/>
    <x v="0"/>
    <s v="Yes"/>
    <n v="20"/>
    <n v="3"/>
    <n v="62"/>
  </r>
  <r>
    <n v="3319"/>
    <x v="88"/>
    <x v="2"/>
    <d v="2024-05-24T00:00:00"/>
    <x v="0"/>
    <x v="2"/>
    <x v="0"/>
    <s v="No"/>
    <x v="1"/>
    <s v="Yes"/>
    <n v="20"/>
    <n v="10"/>
    <n v="20"/>
  </r>
  <r>
    <n v="3320"/>
    <x v="89"/>
    <x v="1"/>
    <d v="2024-05-25T00:00:00"/>
    <x v="1"/>
    <x v="1"/>
    <x v="2"/>
    <s v="No"/>
    <x v="1"/>
    <s v="No"/>
    <n v="0"/>
    <n v="0"/>
    <n v="5"/>
  </r>
  <r>
    <n v="3321"/>
    <x v="90"/>
    <x v="0"/>
    <d v="2024-05-26T00:00:00"/>
    <x v="0"/>
    <x v="0"/>
    <x v="0"/>
    <s v="Yes"/>
    <x v="0"/>
    <s v="Yes"/>
    <n v="20"/>
    <n v="5"/>
    <n v="60"/>
  </r>
  <r>
    <n v="3322"/>
    <x v="91"/>
    <x v="2"/>
    <d v="2024-05-27T00:00:00"/>
    <x v="1"/>
    <x v="2"/>
    <x v="1"/>
    <s v="No"/>
    <x v="1"/>
    <s v="Yes"/>
    <n v="20"/>
    <n v="15"/>
    <n v="15"/>
  </r>
  <r>
    <n v="3323"/>
    <x v="92"/>
    <x v="1"/>
    <d v="2024-05-28T00:00:00"/>
    <x v="0"/>
    <x v="1"/>
    <x v="0"/>
    <s v="No"/>
    <x v="1"/>
    <s v="No"/>
    <n v="0"/>
    <n v="1"/>
    <n v="4"/>
  </r>
  <r>
    <n v="3324"/>
    <x v="93"/>
    <x v="0"/>
    <d v="2024-05-29T00:00:00"/>
    <x v="1"/>
    <x v="0"/>
    <x v="2"/>
    <s v="Yes"/>
    <x v="0"/>
    <s v="Yes"/>
    <n v="20"/>
    <n v="20"/>
    <n v="45"/>
  </r>
  <r>
    <n v="3325"/>
    <x v="94"/>
    <x v="2"/>
    <d v="2024-05-30T00:00:00"/>
    <x v="0"/>
    <x v="2"/>
    <x v="2"/>
    <s v="No"/>
    <x v="1"/>
    <s v="Yes"/>
    <n v="20"/>
    <n v="15"/>
    <n v="15"/>
  </r>
  <r>
    <n v="3326"/>
    <x v="95"/>
    <x v="1"/>
    <d v="2024-05-31T00:00:00"/>
    <x v="1"/>
    <x v="1"/>
    <x v="1"/>
    <s v="No"/>
    <x v="1"/>
    <s v="No"/>
    <n v="0"/>
    <n v="0"/>
    <n v="5"/>
  </r>
  <r>
    <n v="3327"/>
    <x v="96"/>
    <x v="0"/>
    <d v="2024-06-01T00:00:00"/>
    <x v="0"/>
    <x v="0"/>
    <x v="0"/>
    <s v="Yes"/>
    <x v="0"/>
    <s v="Yes"/>
    <n v="20"/>
    <n v="7"/>
    <n v="58"/>
  </r>
  <r>
    <n v="3328"/>
    <x v="97"/>
    <x v="2"/>
    <d v="2024-06-02T00:00:00"/>
    <x v="1"/>
    <x v="2"/>
    <x v="1"/>
    <s v="No"/>
    <x v="1"/>
    <s v="Yes"/>
    <n v="20"/>
    <n v="10"/>
    <n v="20"/>
  </r>
  <r>
    <n v="3329"/>
    <x v="98"/>
    <x v="1"/>
    <d v="2024-06-03T00:00:00"/>
    <x v="0"/>
    <x v="1"/>
    <x v="2"/>
    <s v="No"/>
    <x v="1"/>
    <s v="No"/>
    <n v="0"/>
    <n v="1"/>
    <n v="4"/>
  </r>
  <r>
    <n v="3330"/>
    <x v="99"/>
    <x v="0"/>
    <d v="2024-06-04T00:00:00"/>
    <x v="1"/>
    <x v="0"/>
    <x v="0"/>
    <s v="Yes"/>
    <x v="0"/>
    <s v="Yes"/>
    <n v="20"/>
    <n v="15"/>
    <n v="50"/>
  </r>
  <r>
    <n v="3331"/>
    <x v="100"/>
    <x v="2"/>
    <d v="2024-06-05T00:00:00"/>
    <x v="0"/>
    <x v="2"/>
    <x v="0"/>
    <s v="No"/>
    <x v="1"/>
    <s v="Yes"/>
    <n v="20"/>
    <n v="5"/>
    <n v="25"/>
  </r>
  <r>
    <n v="3332"/>
    <x v="101"/>
    <x v="1"/>
    <d v="2024-06-06T00:00:00"/>
    <x v="1"/>
    <x v="1"/>
    <x v="1"/>
    <s v="No"/>
    <x v="1"/>
    <s v="No"/>
    <n v="0"/>
    <n v="0"/>
    <n v="5"/>
  </r>
  <r>
    <n v="3333"/>
    <x v="102"/>
    <x v="0"/>
    <d v="2024-06-07T00:00:00"/>
    <x v="0"/>
    <x v="0"/>
    <x v="2"/>
    <s v="Yes"/>
    <x v="0"/>
    <s v="Yes"/>
    <n v="20"/>
    <n v="20"/>
    <n v="45"/>
  </r>
  <r>
    <n v="3334"/>
    <x v="103"/>
    <x v="2"/>
    <d v="2024-06-08T00:00:00"/>
    <x v="1"/>
    <x v="2"/>
    <x v="2"/>
    <s v="No"/>
    <x v="1"/>
    <s v="Yes"/>
    <n v="20"/>
    <n v="12"/>
    <n v="18"/>
  </r>
  <r>
    <n v="3335"/>
    <x v="104"/>
    <x v="1"/>
    <d v="2024-06-09T00:00:00"/>
    <x v="0"/>
    <x v="1"/>
    <x v="0"/>
    <s v="No"/>
    <x v="1"/>
    <s v="No"/>
    <n v="0"/>
    <n v="2"/>
    <n v="3"/>
  </r>
  <r>
    <n v="3336"/>
    <x v="105"/>
    <x v="1"/>
    <d v="2024-06-10T00:00:00"/>
    <x v="0"/>
    <x v="1"/>
    <x v="0"/>
    <s v="No"/>
    <x v="1"/>
    <s v="No"/>
    <n v="0"/>
    <n v="0"/>
    <n v="5"/>
  </r>
  <r>
    <n v="3337"/>
    <x v="106"/>
    <x v="0"/>
    <d v="2024-06-11T00:00:00"/>
    <x v="1"/>
    <x v="0"/>
    <x v="2"/>
    <s v="Yes"/>
    <x v="0"/>
    <s v="Yes"/>
    <n v="20"/>
    <n v="7"/>
    <n v="58"/>
  </r>
  <r>
    <n v="3338"/>
    <x v="107"/>
    <x v="2"/>
    <d v="2024-06-12T00:00:00"/>
    <x v="0"/>
    <x v="2"/>
    <x v="1"/>
    <s v="No"/>
    <x v="1"/>
    <s v="Yes"/>
    <n v="20"/>
    <n v="10"/>
    <n v="20"/>
  </r>
  <r>
    <n v="3339"/>
    <x v="108"/>
    <x v="1"/>
    <d v="2024-06-13T00:00:00"/>
    <x v="1"/>
    <x v="1"/>
    <x v="2"/>
    <s v="No"/>
    <x v="1"/>
    <s v="No"/>
    <n v="0"/>
    <n v="1"/>
    <n v="4"/>
  </r>
  <r>
    <n v="3340"/>
    <x v="109"/>
    <x v="0"/>
    <d v="2024-06-14T00:00:00"/>
    <x v="0"/>
    <x v="0"/>
    <x v="0"/>
    <s v="Yes"/>
    <x v="0"/>
    <s v="Yes"/>
    <n v="20"/>
    <n v="15"/>
    <n v="50"/>
  </r>
  <r>
    <n v="3341"/>
    <x v="110"/>
    <x v="2"/>
    <d v="2024-06-15T00:00:00"/>
    <x v="1"/>
    <x v="2"/>
    <x v="0"/>
    <s v="No"/>
    <x v="1"/>
    <s v="Yes"/>
    <n v="20"/>
    <n v="5"/>
    <n v="25"/>
  </r>
  <r>
    <n v="3342"/>
    <x v="111"/>
    <x v="1"/>
    <d v="2024-06-16T00:00:00"/>
    <x v="0"/>
    <x v="1"/>
    <x v="1"/>
    <s v="No"/>
    <x v="1"/>
    <s v="No"/>
    <n v="0"/>
    <n v="0"/>
    <n v="5"/>
  </r>
  <r>
    <n v="3343"/>
    <x v="112"/>
    <x v="0"/>
    <d v="2024-06-17T00:00:00"/>
    <x v="1"/>
    <x v="0"/>
    <x v="2"/>
    <s v="Yes"/>
    <x v="0"/>
    <s v="Yes"/>
    <n v="20"/>
    <n v="20"/>
    <n v="45"/>
  </r>
  <r>
    <n v="3344"/>
    <x v="113"/>
    <x v="2"/>
    <d v="2024-06-18T00:00:00"/>
    <x v="0"/>
    <x v="2"/>
    <x v="2"/>
    <s v="No"/>
    <x v="1"/>
    <s v="Yes"/>
    <n v="20"/>
    <n v="12"/>
    <n v="18"/>
  </r>
  <r>
    <n v="3345"/>
    <x v="114"/>
    <x v="1"/>
    <d v="2024-06-19T00:00:00"/>
    <x v="1"/>
    <x v="1"/>
    <x v="0"/>
    <s v="No"/>
    <x v="1"/>
    <s v="No"/>
    <n v="0"/>
    <n v="2"/>
    <n v="3"/>
  </r>
  <r>
    <n v="3346"/>
    <x v="115"/>
    <x v="0"/>
    <d v="2024-06-20T00:00:00"/>
    <x v="0"/>
    <x v="0"/>
    <x v="1"/>
    <s v="Yes"/>
    <x v="0"/>
    <s v="Yes"/>
    <n v="20"/>
    <n v="5"/>
    <n v="60"/>
  </r>
  <r>
    <n v="3347"/>
    <x v="116"/>
    <x v="2"/>
    <d v="2024-06-21T00:00:00"/>
    <x v="1"/>
    <x v="2"/>
    <x v="0"/>
    <s v="No"/>
    <x v="1"/>
    <s v="Yes"/>
    <n v="20"/>
    <n v="10"/>
    <n v="20"/>
  </r>
  <r>
    <n v="3348"/>
    <x v="117"/>
    <x v="1"/>
    <d v="2024-06-22T00:00:00"/>
    <x v="0"/>
    <x v="1"/>
    <x v="2"/>
    <s v="No"/>
    <x v="1"/>
    <s v="No"/>
    <n v="0"/>
    <n v="0"/>
    <n v="5"/>
  </r>
  <r>
    <n v="3349"/>
    <x v="93"/>
    <x v="0"/>
    <d v="2024-06-23T00:00:00"/>
    <x v="1"/>
    <x v="0"/>
    <x v="0"/>
    <s v="Yes"/>
    <x v="0"/>
    <s v="Yes"/>
    <n v="20"/>
    <n v="3"/>
    <n v="62"/>
  </r>
  <r>
    <n v="3350"/>
    <x v="118"/>
    <x v="2"/>
    <d v="2024-06-24T00:00:00"/>
    <x v="0"/>
    <x v="2"/>
    <x v="1"/>
    <s v="No"/>
    <x v="1"/>
    <s v="Yes"/>
    <n v="20"/>
    <n v="15"/>
    <n v="15"/>
  </r>
  <r>
    <n v="3351"/>
    <x v="119"/>
    <x v="1"/>
    <d v="2024-06-25T00:00:00"/>
    <x v="1"/>
    <x v="1"/>
    <x v="0"/>
    <s v="No"/>
    <x v="1"/>
    <s v="No"/>
    <n v="0"/>
    <n v="1"/>
    <n v="4"/>
  </r>
  <r>
    <n v="3352"/>
    <x v="120"/>
    <x v="0"/>
    <d v="2024-06-26T00:00:00"/>
    <x v="0"/>
    <x v="0"/>
    <x v="2"/>
    <s v="Yes"/>
    <x v="0"/>
    <s v="Yes"/>
    <n v="20"/>
    <n v="7"/>
    <n v="58"/>
  </r>
  <r>
    <n v="3353"/>
    <x v="121"/>
    <x v="2"/>
    <d v="2024-06-27T00:00:00"/>
    <x v="1"/>
    <x v="2"/>
    <x v="0"/>
    <s v="No"/>
    <x v="1"/>
    <s v="Yes"/>
    <n v="20"/>
    <n v="10"/>
    <n v="20"/>
  </r>
  <r>
    <n v="3354"/>
    <x v="122"/>
    <x v="1"/>
    <d v="2024-06-28T00:00:00"/>
    <x v="0"/>
    <x v="1"/>
    <x v="1"/>
    <s v="No"/>
    <x v="1"/>
    <s v="No"/>
    <n v="0"/>
    <n v="0"/>
    <n v="5"/>
  </r>
  <r>
    <n v="3355"/>
    <x v="123"/>
    <x v="0"/>
    <d v="2024-06-29T00:00:00"/>
    <x v="1"/>
    <x v="0"/>
    <x v="0"/>
    <s v="Yes"/>
    <x v="0"/>
    <s v="Yes"/>
    <n v="20"/>
    <n v="20"/>
    <n v="45"/>
  </r>
  <r>
    <n v="3356"/>
    <x v="124"/>
    <x v="2"/>
    <d v="2024-06-30T00:00:00"/>
    <x v="0"/>
    <x v="2"/>
    <x v="2"/>
    <s v="No"/>
    <x v="1"/>
    <s v="Yes"/>
    <n v="20"/>
    <n v="15"/>
    <n v="15"/>
  </r>
  <r>
    <n v="3357"/>
    <x v="125"/>
    <x v="1"/>
    <d v="2024-07-01T00:00:00"/>
    <x v="1"/>
    <x v="1"/>
    <x v="0"/>
    <s v="No"/>
    <x v="1"/>
    <s v="No"/>
    <n v="0"/>
    <n v="1"/>
    <n v="4"/>
  </r>
  <r>
    <n v="3358"/>
    <x v="126"/>
    <x v="0"/>
    <d v="2024-07-02T00:00:00"/>
    <x v="0"/>
    <x v="0"/>
    <x v="1"/>
    <s v="Yes"/>
    <x v="0"/>
    <s v="Yes"/>
    <n v="20"/>
    <n v="3"/>
    <n v="62"/>
  </r>
  <r>
    <n v="3359"/>
    <x v="127"/>
    <x v="2"/>
    <d v="2024-07-03T00:00:00"/>
    <x v="1"/>
    <x v="2"/>
    <x v="0"/>
    <s v="No"/>
    <x v="1"/>
    <s v="Yes"/>
    <n v="20"/>
    <n v="10"/>
    <n v="20"/>
  </r>
  <r>
    <n v="3360"/>
    <x v="128"/>
    <x v="1"/>
    <d v="2024-07-04T00:00:00"/>
    <x v="0"/>
    <x v="1"/>
    <x v="2"/>
    <s v="No"/>
    <x v="1"/>
    <s v="No"/>
    <n v="0"/>
    <n v="0"/>
    <n v="5"/>
  </r>
  <r>
    <n v="3361"/>
    <x v="129"/>
    <x v="0"/>
    <d v="2024-07-05T00:00:00"/>
    <x v="1"/>
    <x v="0"/>
    <x v="0"/>
    <s v="Yes"/>
    <x v="0"/>
    <s v="Yes"/>
    <n v="20"/>
    <n v="15"/>
    <n v="50"/>
  </r>
  <r>
    <n v="3362"/>
    <x v="130"/>
    <x v="2"/>
    <d v="2024-07-06T00:00:00"/>
    <x v="0"/>
    <x v="2"/>
    <x v="1"/>
    <s v="No"/>
    <x v="1"/>
    <s v="Yes"/>
    <n v="20"/>
    <n v="15"/>
    <n v="15"/>
  </r>
  <r>
    <n v="3363"/>
    <x v="131"/>
    <x v="1"/>
    <d v="2024-07-07T00:00:00"/>
    <x v="1"/>
    <x v="1"/>
    <x v="0"/>
    <s v="No"/>
    <x v="1"/>
    <s v="No"/>
    <n v="0"/>
    <n v="1"/>
    <n v="4"/>
  </r>
  <r>
    <n v="3364"/>
    <x v="132"/>
    <x v="0"/>
    <d v="2024-07-08T00:00:00"/>
    <x v="0"/>
    <x v="0"/>
    <x v="2"/>
    <s v="Yes"/>
    <x v="0"/>
    <s v="Yes"/>
    <n v="20"/>
    <n v="7"/>
    <n v="58"/>
  </r>
  <r>
    <n v="3365"/>
    <x v="133"/>
    <x v="2"/>
    <d v="2024-07-09T00:00:00"/>
    <x v="1"/>
    <x v="2"/>
    <x v="0"/>
    <s v="No"/>
    <x v="1"/>
    <s v="Yes"/>
    <n v="20"/>
    <n v="10"/>
    <n v="20"/>
  </r>
  <r>
    <n v="3366"/>
    <x v="134"/>
    <x v="1"/>
    <d v="2024-07-10T00:00:00"/>
    <x v="0"/>
    <x v="1"/>
    <x v="0"/>
    <s v="No"/>
    <x v="1"/>
    <s v="No"/>
    <n v="0"/>
    <n v="0"/>
    <n v="5"/>
  </r>
  <r>
    <n v="3367"/>
    <x v="135"/>
    <x v="0"/>
    <d v="2024-07-11T00:00:00"/>
    <x v="1"/>
    <x v="0"/>
    <x v="2"/>
    <s v="Yes"/>
    <x v="0"/>
    <s v="Yes"/>
    <n v="20"/>
    <n v="7"/>
    <n v="58"/>
  </r>
  <r>
    <n v="3368"/>
    <x v="136"/>
    <x v="2"/>
    <d v="2024-07-12T00:00:00"/>
    <x v="0"/>
    <x v="2"/>
    <x v="1"/>
    <s v="No"/>
    <x v="1"/>
    <s v="Yes"/>
    <n v="20"/>
    <n v="10"/>
    <n v="20"/>
  </r>
  <r>
    <n v="3369"/>
    <x v="137"/>
    <x v="1"/>
    <d v="2024-07-13T00:00:00"/>
    <x v="1"/>
    <x v="1"/>
    <x v="2"/>
    <s v="No"/>
    <x v="1"/>
    <s v="No"/>
    <n v="0"/>
    <n v="1"/>
    <n v="4"/>
  </r>
  <r>
    <n v="3370"/>
    <x v="138"/>
    <x v="0"/>
    <d v="2024-07-14T00:00:00"/>
    <x v="0"/>
    <x v="0"/>
    <x v="0"/>
    <s v="Yes"/>
    <x v="0"/>
    <s v="Yes"/>
    <n v="20"/>
    <n v="15"/>
    <n v="50"/>
  </r>
  <r>
    <n v="3371"/>
    <x v="139"/>
    <x v="2"/>
    <d v="2024-07-15T00:00:00"/>
    <x v="1"/>
    <x v="2"/>
    <x v="0"/>
    <s v="No"/>
    <x v="1"/>
    <s v="Yes"/>
    <n v="20"/>
    <n v="5"/>
    <n v="25"/>
  </r>
  <r>
    <n v="3372"/>
    <x v="140"/>
    <x v="1"/>
    <d v="2024-07-16T00:00:00"/>
    <x v="0"/>
    <x v="1"/>
    <x v="1"/>
    <s v="No"/>
    <x v="1"/>
    <s v="No"/>
    <n v="0"/>
    <n v="0"/>
    <n v="5"/>
  </r>
  <r>
    <n v="3373"/>
    <x v="141"/>
    <x v="0"/>
    <d v="2024-07-17T00:00:00"/>
    <x v="1"/>
    <x v="0"/>
    <x v="2"/>
    <s v="Yes"/>
    <x v="0"/>
    <s v="Yes"/>
    <n v="20"/>
    <n v="20"/>
    <n v="45"/>
  </r>
  <r>
    <n v="3374"/>
    <x v="142"/>
    <x v="2"/>
    <d v="2024-07-18T00:00:00"/>
    <x v="0"/>
    <x v="2"/>
    <x v="2"/>
    <s v="No"/>
    <x v="1"/>
    <s v="Yes"/>
    <n v="20"/>
    <n v="12"/>
    <n v="18"/>
  </r>
  <r>
    <n v="3375"/>
    <x v="143"/>
    <x v="1"/>
    <d v="2024-07-19T00:00:00"/>
    <x v="1"/>
    <x v="1"/>
    <x v="0"/>
    <s v="No"/>
    <x v="1"/>
    <s v="No"/>
    <n v="0"/>
    <n v="2"/>
    <n v="3"/>
  </r>
  <r>
    <n v="3376"/>
    <x v="144"/>
    <x v="0"/>
    <d v="2024-07-20T00:00:00"/>
    <x v="0"/>
    <x v="0"/>
    <x v="1"/>
    <s v="Yes"/>
    <x v="0"/>
    <s v="Yes"/>
    <n v="20"/>
    <n v="5"/>
    <n v="60"/>
  </r>
  <r>
    <n v="3377"/>
    <x v="145"/>
    <x v="2"/>
    <d v="2024-07-21T00:00:00"/>
    <x v="1"/>
    <x v="2"/>
    <x v="0"/>
    <s v="No"/>
    <x v="1"/>
    <s v="Yes"/>
    <n v="20"/>
    <n v="10"/>
    <n v="20"/>
  </r>
  <r>
    <n v="3378"/>
    <x v="146"/>
    <x v="1"/>
    <d v="2024-07-22T00:00:00"/>
    <x v="0"/>
    <x v="1"/>
    <x v="2"/>
    <s v="No"/>
    <x v="1"/>
    <s v="No"/>
    <n v="0"/>
    <n v="0"/>
    <n v="5"/>
  </r>
  <r>
    <n v="3379"/>
    <x v="147"/>
    <x v="0"/>
    <d v="2024-07-23T00:00:00"/>
    <x v="1"/>
    <x v="0"/>
    <x v="0"/>
    <s v="Yes"/>
    <x v="0"/>
    <s v="Yes"/>
    <n v="20"/>
    <n v="3"/>
    <n v="62"/>
  </r>
  <r>
    <n v="3380"/>
    <x v="148"/>
    <x v="2"/>
    <d v="2024-07-24T00:00:00"/>
    <x v="0"/>
    <x v="2"/>
    <x v="1"/>
    <s v="No"/>
    <x v="1"/>
    <s v="Yes"/>
    <n v="20"/>
    <n v="15"/>
    <n v="15"/>
  </r>
  <r>
    <n v="3381"/>
    <x v="149"/>
    <x v="1"/>
    <d v="2024-07-25T00:00:00"/>
    <x v="1"/>
    <x v="1"/>
    <x v="0"/>
    <s v="No"/>
    <x v="1"/>
    <s v="No"/>
    <n v="0"/>
    <n v="1"/>
    <n v="4"/>
  </r>
  <r>
    <n v="3382"/>
    <x v="150"/>
    <x v="0"/>
    <d v="2024-07-26T00:00:00"/>
    <x v="0"/>
    <x v="0"/>
    <x v="2"/>
    <s v="Yes"/>
    <x v="0"/>
    <s v="Yes"/>
    <n v="20"/>
    <n v="7"/>
    <n v="58"/>
  </r>
  <r>
    <n v="3383"/>
    <x v="151"/>
    <x v="2"/>
    <d v="2024-07-27T00:00:00"/>
    <x v="1"/>
    <x v="2"/>
    <x v="0"/>
    <s v="No"/>
    <x v="1"/>
    <s v="Yes"/>
    <n v="20"/>
    <n v="10"/>
    <n v="20"/>
  </r>
  <r>
    <n v="3384"/>
    <x v="152"/>
    <x v="1"/>
    <d v="2024-07-28T00:00:00"/>
    <x v="0"/>
    <x v="1"/>
    <x v="1"/>
    <s v="No"/>
    <x v="1"/>
    <s v="No"/>
    <n v="0"/>
    <n v="0"/>
    <n v="5"/>
  </r>
  <r>
    <n v="3385"/>
    <x v="153"/>
    <x v="0"/>
    <d v="2024-07-29T00:00:00"/>
    <x v="1"/>
    <x v="0"/>
    <x v="0"/>
    <s v="Yes"/>
    <x v="0"/>
    <s v="Yes"/>
    <n v="20"/>
    <n v="20"/>
    <n v="45"/>
  </r>
  <r>
    <n v="3386"/>
    <x v="154"/>
    <x v="2"/>
    <d v="2024-07-30T00:00:00"/>
    <x v="0"/>
    <x v="2"/>
    <x v="2"/>
    <s v="No"/>
    <x v="1"/>
    <s v="Yes"/>
    <n v="20"/>
    <n v="15"/>
    <n v="15"/>
  </r>
  <r>
    <n v="3387"/>
    <x v="155"/>
    <x v="1"/>
    <d v="2024-07-31T00:00:00"/>
    <x v="1"/>
    <x v="1"/>
    <x v="0"/>
    <s v="No"/>
    <x v="1"/>
    <s v="No"/>
    <n v="0"/>
    <n v="1"/>
    <n v="4"/>
  </r>
  <r>
    <n v="3388"/>
    <x v="156"/>
    <x v="0"/>
    <d v="2024-08-01T00:00:00"/>
    <x v="0"/>
    <x v="0"/>
    <x v="1"/>
    <s v="Yes"/>
    <x v="0"/>
    <s v="Yes"/>
    <n v="20"/>
    <n v="3"/>
    <n v="62"/>
  </r>
  <r>
    <n v="3389"/>
    <x v="157"/>
    <x v="2"/>
    <d v="2024-08-02T00:00:00"/>
    <x v="1"/>
    <x v="2"/>
    <x v="0"/>
    <s v="No"/>
    <x v="1"/>
    <s v="Yes"/>
    <n v="20"/>
    <n v="10"/>
    <n v="20"/>
  </r>
  <r>
    <n v="3390"/>
    <x v="158"/>
    <x v="1"/>
    <d v="2024-08-03T00:00:00"/>
    <x v="0"/>
    <x v="1"/>
    <x v="2"/>
    <s v="No"/>
    <x v="1"/>
    <s v="No"/>
    <n v="0"/>
    <n v="0"/>
    <n v="5"/>
  </r>
  <r>
    <n v="3391"/>
    <x v="58"/>
    <x v="0"/>
    <d v="2024-08-04T00:00:00"/>
    <x v="1"/>
    <x v="0"/>
    <x v="0"/>
    <s v="Yes"/>
    <x v="0"/>
    <s v="Yes"/>
    <n v="20"/>
    <n v="15"/>
    <n v="50"/>
  </r>
  <r>
    <n v="3392"/>
    <x v="159"/>
    <x v="2"/>
    <d v="2024-08-05T00:00:00"/>
    <x v="0"/>
    <x v="2"/>
    <x v="1"/>
    <s v="No"/>
    <x v="1"/>
    <s v="Yes"/>
    <n v="20"/>
    <n v="15"/>
    <n v="15"/>
  </r>
  <r>
    <n v="3393"/>
    <x v="160"/>
    <x v="1"/>
    <d v="2024-08-06T00:00:00"/>
    <x v="1"/>
    <x v="1"/>
    <x v="0"/>
    <s v="No"/>
    <x v="1"/>
    <s v="No"/>
    <n v="0"/>
    <n v="1"/>
    <n v="4"/>
  </r>
  <r>
    <n v="3394"/>
    <x v="161"/>
    <x v="0"/>
    <d v="2024-08-07T00:00:00"/>
    <x v="0"/>
    <x v="0"/>
    <x v="2"/>
    <s v="Yes"/>
    <x v="0"/>
    <s v="Yes"/>
    <n v="20"/>
    <n v="7"/>
    <n v="58"/>
  </r>
  <r>
    <n v="3395"/>
    <x v="162"/>
    <x v="2"/>
    <d v="2024-08-08T00:00:00"/>
    <x v="1"/>
    <x v="2"/>
    <x v="0"/>
    <s v="No"/>
    <x v="1"/>
    <s v="Yes"/>
    <n v="20"/>
    <n v="10"/>
    <n v="20"/>
  </r>
  <r>
    <n v="3396"/>
    <x v="163"/>
    <x v="1"/>
    <d v="2024-08-09T00:00:00"/>
    <x v="0"/>
    <x v="1"/>
    <x v="1"/>
    <s v="No"/>
    <x v="1"/>
    <s v="No"/>
    <n v="0"/>
    <n v="0"/>
    <n v="5"/>
  </r>
  <r>
    <n v="3397"/>
    <x v="90"/>
    <x v="0"/>
    <d v="2024-08-10T00:00:00"/>
    <x v="1"/>
    <x v="0"/>
    <x v="0"/>
    <s v="Yes"/>
    <x v="0"/>
    <s v="Yes"/>
    <n v="20"/>
    <n v="20"/>
    <n v="45"/>
  </r>
  <r>
    <n v="3398"/>
    <x v="164"/>
    <x v="2"/>
    <d v="2024-08-11T00:00:00"/>
    <x v="0"/>
    <x v="2"/>
    <x v="2"/>
    <s v="No"/>
    <x v="1"/>
    <s v="Yes"/>
    <n v="20"/>
    <n v="15"/>
    <n v="15"/>
  </r>
  <r>
    <n v="3399"/>
    <x v="165"/>
    <x v="1"/>
    <d v="2024-08-12T00:00:00"/>
    <x v="1"/>
    <x v="1"/>
    <x v="0"/>
    <s v="No"/>
    <x v="1"/>
    <s v="No"/>
    <n v="0"/>
    <n v="1"/>
    <n v="4"/>
  </r>
  <r>
    <n v="3400"/>
    <x v="166"/>
    <x v="0"/>
    <d v="2024-08-13T00:00:00"/>
    <x v="0"/>
    <x v="0"/>
    <x v="1"/>
    <s v="Yes"/>
    <x v="0"/>
    <s v="Yes"/>
    <n v="20"/>
    <n v="5"/>
    <n v="60"/>
  </r>
  <r>
    <n v="3401"/>
    <x v="167"/>
    <x v="2"/>
    <d v="2024-08-14T00:00:00"/>
    <x v="1"/>
    <x v="2"/>
    <x v="0"/>
    <s v="No"/>
    <x v="1"/>
    <s v="Yes"/>
    <n v="20"/>
    <n v="10"/>
    <n v="20"/>
  </r>
  <r>
    <n v="3402"/>
    <x v="168"/>
    <x v="1"/>
    <d v="2024-08-15T00:00:00"/>
    <x v="0"/>
    <x v="1"/>
    <x v="2"/>
    <s v="No"/>
    <x v="1"/>
    <s v="No"/>
    <n v="0"/>
    <n v="0"/>
    <n v="5"/>
  </r>
  <r>
    <n v="3403"/>
    <x v="169"/>
    <x v="0"/>
    <d v="2024-08-16T00:00:00"/>
    <x v="1"/>
    <x v="0"/>
    <x v="0"/>
    <s v="Yes"/>
    <x v="0"/>
    <s v="Yes"/>
    <n v="20"/>
    <n v="3"/>
    <n v="62"/>
  </r>
  <r>
    <n v="3404"/>
    <x v="170"/>
    <x v="2"/>
    <d v="2024-08-17T00:00:00"/>
    <x v="0"/>
    <x v="2"/>
    <x v="1"/>
    <s v="No"/>
    <x v="1"/>
    <s v="Yes"/>
    <n v="20"/>
    <n v="15"/>
    <n v="15"/>
  </r>
  <r>
    <n v="3405"/>
    <x v="171"/>
    <x v="1"/>
    <d v="2024-08-18T00:00:00"/>
    <x v="1"/>
    <x v="1"/>
    <x v="0"/>
    <s v="No"/>
    <x v="1"/>
    <s v="No"/>
    <n v="0"/>
    <n v="1"/>
    <n v="4"/>
  </r>
  <r>
    <n v="3406"/>
    <x v="172"/>
    <x v="1"/>
    <d v="2024-08-19T00:00:00"/>
    <x v="0"/>
    <x v="1"/>
    <x v="0"/>
    <s v="No"/>
    <x v="1"/>
    <s v="No"/>
    <n v="0"/>
    <n v="0"/>
    <n v="5"/>
  </r>
  <r>
    <n v="3407"/>
    <x v="173"/>
    <x v="0"/>
    <d v="2024-08-20T00:00:00"/>
    <x v="1"/>
    <x v="0"/>
    <x v="2"/>
    <s v="Yes"/>
    <x v="0"/>
    <s v="Yes"/>
    <n v="20"/>
    <n v="7"/>
    <n v="58"/>
  </r>
  <r>
    <n v="3408"/>
    <x v="174"/>
    <x v="2"/>
    <d v="2024-08-21T00:00:00"/>
    <x v="0"/>
    <x v="2"/>
    <x v="1"/>
    <s v="No"/>
    <x v="1"/>
    <s v="Yes"/>
    <n v="20"/>
    <n v="10"/>
    <n v="20"/>
  </r>
  <r>
    <n v="3409"/>
    <x v="175"/>
    <x v="1"/>
    <d v="2024-08-22T00:00:00"/>
    <x v="1"/>
    <x v="1"/>
    <x v="2"/>
    <s v="No"/>
    <x v="1"/>
    <s v="No"/>
    <n v="0"/>
    <n v="1"/>
    <n v="4"/>
  </r>
  <r>
    <n v="3410"/>
    <x v="176"/>
    <x v="0"/>
    <d v="2024-08-23T00:00:00"/>
    <x v="0"/>
    <x v="0"/>
    <x v="0"/>
    <s v="Yes"/>
    <x v="0"/>
    <s v="Yes"/>
    <n v="20"/>
    <n v="15"/>
    <n v="50"/>
  </r>
  <r>
    <n v="3411"/>
    <x v="177"/>
    <x v="2"/>
    <d v="2024-08-24T00:00:00"/>
    <x v="1"/>
    <x v="2"/>
    <x v="0"/>
    <s v="No"/>
    <x v="1"/>
    <s v="Yes"/>
    <n v="20"/>
    <n v="5"/>
    <n v="25"/>
  </r>
  <r>
    <n v="3412"/>
    <x v="178"/>
    <x v="1"/>
    <d v="2024-08-25T00:00:00"/>
    <x v="0"/>
    <x v="1"/>
    <x v="1"/>
    <s v="No"/>
    <x v="1"/>
    <s v="No"/>
    <n v="0"/>
    <n v="0"/>
    <n v="5"/>
  </r>
  <r>
    <n v="3413"/>
    <x v="179"/>
    <x v="0"/>
    <d v="2024-08-26T00:00:00"/>
    <x v="1"/>
    <x v="0"/>
    <x v="2"/>
    <s v="Yes"/>
    <x v="0"/>
    <s v="Yes"/>
    <n v="20"/>
    <n v="20"/>
    <n v="45"/>
  </r>
  <r>
    <n v="3414"/>
    <x v="180"/>
    <x v="2"/>
    <d v="2024-08-27T00:00:00"/>
    <x v="0"/>
    <x v="2"/>
    <x v="2"/>
    <s v="No"/>
    <x v="1"/>
    <s v="Yes"/>
    <n v="20"/>
    <n v="12"/>
    <n v="18"/>
  </r>
  <r>
    <n v="3415"/>
    <x v="181"/>
    <x v="1"/>
    <d v="2024-08-28T00:00:00"/>
    <x v="1"/>
    <x v="1"/>
    <x v="0"/>
    <s v="No"/>
    <x v="1"/>
    <s v="No"/>
    <n v="0"/>
    <n v="2"/>
    <n v="3"/>
  </r>
  <r>
    <n v="3416"/>
    <x v="182"/>
    <x v="0"/>
    <d v="2024-08-29T00:00:00"/>
    <x v="0"/>
    <x v="0"/>
    <x v="1"/>
    <s v="Yes"/>
    <x v="0"/>
    <s v="Yes"/>
    <n v="20"/>
    <n v="5"/>
    <n v="60"/>
  </r>
  <r>
    <n v="3417"/>
    <x v="183"/>
    <x v="2"/>
    <d v="2024-08-30T00:00:00"/>
    <x v="1"/>
    <x v="2"/>
    <x v="0"/>
    <s v="No"/>
    <x v="1"/>
    <s v="Yes"/>
    <n v="20"/>
    <n v="10"/>
    <n v="20"/>
  </r>
  <r>
    <n v="3418"/>
    <x v="184"/>
    <x v="1"/>
    <d v="2024-08-31T00:00:00"/>
    <x v="0"/>
    <x v="1"/>
    <x v="2"/>
    <s v="No"/>
    <x v="1"/>
    <s v="No"/>
    <n v="0"/>
    <n v="0"/>
    <n v="5"/>
  </r>
  <r>
    <n v="3419"/>
    <x v="185"/>
    <x v="0"/>
    <d v="2024-09-01T00:00:00"/>
    <x v="1"/>
    <x v="0"/>
    <x v="0"/>
    <s v="Yes"/>
    <x v="0"/>
    <s v="Yes"/>
    <n v="20"/>
    <n v="3"/>
    <n v="62"/>
  </r>
  <r>
    <n v="3420"/>
    <x v="186"/>
    <x v="2"/>
    <d v="2024-09-02T00:00:00"/>
    <x v="0"/>
    <x v="2"/>
    <x v="1"/>
    <s v="No"/>
    <x v="1"/>
    <s v="Yes"/>
    <n v="20"/>
    <n v="15"/>
    <n v="15"/>
  </r>
  <r>
    <n v="3421"/>
    <x v="15"/>
    <x v="1"/>
    <d v="2024-09-03T00:00:00"/>
    <x v="1"/>
    <x v="1"/>
    <x v="0"/>
    <s v="No"/>
    <x v="1"/>
    <s v="No"/>
    <n v="0"/>
    <n v="1"/>
    <n v="4"/>
  </r>
  <r>
    <n v="3422"/>
    <x v="187"/>
    <x v="0"/>
    <d v="2024-09-04T00:00:00"/>
    <x v="0"/>
    <x v="0"/>
    <x v="2"/>
    <s v="Yes"/>
    <x v="0"/>
    <s v="Yes"/>
    <n v="20"/>
    <n v="7"/>
    <n v="58"/>
  </r>
  <r>
    <n v="3423"/>
    <x v="188"/>
    <x v="2"/>
    <d v="2024-09-05T00:00:00"/>
    <x v="1"/>
    <x v="2"/>
    <x v="0"/>
    <s v="No"/>
    <x v="1"/>
    <s v="Yes"/>
    <n v="20"/>
    <n v="10"/>
    <n v="20"/>
  </r>
  <r>
    <n v="3424"/>
    <x v="14"/>
    <x v="1"/>
    <d v="2024-09-06T00:00:00"/>
    <x v="0"/>
    <x v="1"/>
    <x v="1"/>
    <s v="No"/>
    <x v="1"/>
    <s v="No"/>
    <n v="0"/>
    <n v="0"/>
    <n v="5"/>
  </r>
  <r>
    <n v="3425"/>
    <x v="189"/>
    <x v="0"/>
    <d v="2024-09-07T00:00:00"/>
    <x v="1"/>
    <x v="0"/>
    <x v="0"/>
    <s v="Yes"/>
    <x v="0"/>
    <s v="Yes"/>
    <n v="20"/>
    <n v="20"/>
    <n v="45"/>
  </r>
  <r>
    <n v="3426"/>
    <x v="167"/>
    <x v="2"/>
    <d v="2024-09-08T00:00:00"/>
    <x v="0"/>
    <x v="2"/>
    <x v="2"/>
    <s v="No"/>
    <x v="1"/>
    <s v="Yes"/>
    <n v="20"/>
    <n v="15"/>
    <n v="15"/>
  </r>
  <r>
    <n v="3427"/>
    <x v="190"/>
    <x v="1"/>
    <d v="2024-09-09T00:00:00"/>
    <x v="1"/>
    <x v="1"/>
    <x v="0"/>
    <s v="No"/>
    <x v="1"/>
    <s v="No"/>
    <n v="0"/>
    <n v="1"/>
    <n v="4"/>
  </r>
  <r>
    <n v="3428"/>
    <x v="191"/>
    <x v="0"/>
    <d v="2024-09-10T00:00:00"/>
    <x v="0"/>
    <x v="0"/>
    <x v="1"/>
    <s v="Yes"/>
    <x v="0"/>
    <s v="Yes"/>
    <n v="20"/>
    <n v="3"/>
    <n v="62"/>
  </r>
  <r>
    <n v="3429"/>
    <x v="192"/>
    <x v="2"/>
    <d v="2024-09-11T00:00:00"/>
    <x v="1"/>
    <x v="2"/>
    <x v="0"/>
    <s v="No"/>
    <x v="1"/>
    <s v="Yes"/>
    <n v="20"/>
    <n v="10"/>
    <n v="20"/>
  </r>
  <r>
    <n v="3430"/>
    <x v="193"/>
    <x v="1"/>
    <d v="2024-09-12T00:00:00"/>
    <x v="0"/>
    <x v="1"/>
    <x v="2"/>
    <s v="No"/>
    <x v="1"/>
    <s v="No"/>
    <n v="0"/>
    <n v="0"/>
    <n v="5"/>
  </r>
  <r>
    <n v="3431"/>
    <x v="194"/>
    <x v="0"/>
    <d v="2024-09-13T00:00:00"/>
    <x v="1"/>
    <x v="0"/>
    <x v="0"/>
    <s v="Yes"/>
    <x v="0"/>
    <s v="Yes"/>
    <n v="20"/>
    <n v="15"/>
    <n v="50"/>
  </r>
  <r>
    <n v="3432"/>
    <x v="195"/>
    <x v="2"/>
    <d v="2024-09-14T00:00:00"/>
    <x v="0"/>
    <x v="2"/>
    <x v="1"/>
    <s v="No"/>
    <x v="1"/>
    <s v="Yes"/>
    <n v="20"/>
    <n v="15"/>
    <n v="15"/>
  </r>
  <r>
    <n v="3433"/>
    <x v="196"/>
    <x v="1"/>
    <d v="2024-09-15T00:00:00"/>
    <x v="1"/>
    <x v="1"/>
    <x v="0"/>
    <s v="No"/>
    <x v="1"/>
    <s v="No"/>
    <n v="0"/>
    <n v="1"/>
    <n v="4"/>
  </r>
  <r>
    <n v="3434"/>
    <x v="197"/>
    <x v="0"/>
    <d v="2024-09-16T00:00:00"/>
    <x v="0"/>
    <x v="0"/>
    <x v="2"/>
    <s v="Yes"/>
    <x v="0"/>
    <s v="Yes"/>
    <n v="20"/>
    <n v="7"/>
    <n v="58"/>
  </r>
  <r>
    <n v="3435"/>
    <x v="198"/>
    <x v="2"/>
    <d v="2024-09-17T00:00:00"/>
    <x v="1"/>
    <x v="2"/>
    <x v="0"/>
    <s v="No"/>
    <x v="1"/>
    <s v="Yes"/>
    <n v="20"/>
    <n v="10"/>
    <n v="20"/>
  </r>
  <r>
    <n v="3436"/>
    <x v="199"/>
    <x v="1"/>
    <d v="2024-09-18T00:00:00"/>
    <x v="0"/>
    <x v="1"/>
    <x v="0"/>
    <s v="No"/>
    <x v="1"/>
    <s v="No"/>
    <n v="0"/>
    <n v="0"/>
    <n v="5"/>
  </r>
  <r>
    <n v="3437"/>
    <x v="200"/>
    <x v="0"/>
    <d v="2024-09-19T00:00:00"/>
    <x v="1"/>
    <x v="0"/>
    <x v="2"/>
    <s v="Yes"/>
    <x v="0"/>
    <s v="Yes"/>
    <n v="20"/>
    <n v="7"/>
    <n v="58"/>
  </r>
  <r>
    <n v="3438"/>
    <x v="201"/>
    <x v="2"/>
    <d v="2024-09-20T00:00:00"/>
    <x v="0"/>
    <x v="2"/>
    <x v="1"/>
    <s v="No"/>
    <x v="1"/>
    <s v="Yes"/>
    <n v="20"/>
    <n v="10"/>
    <n v="20"/>
  </r>
  <r>
    <n v="3439"/>
    <x v="202"/>
    <x v="1"/>
    <d v="2024-09-21T00:00:00"/>
    <x v="1"/>
    <x v="1"/>
    <x v="2"/>
    <s v="No"/>
    <x v="1"/>
    <s v="No"/>
    <n v="0"/>
    <n v="1"/>
    <n v="4"/>
  </r>
  <r>
    <n v="3440"/>
    <x v="203"/>
    <x v="0"/>
    <d v="2024-09-22T00:00:00"/>
    <x v="0"/>
    <x v="0"/>
    <x v="0"/>
    <s v="Yes"/>
    <x v="0"/>
    <s v="Yes"/>
    <n v="20"/>
    <n v="15"/>
    <n v="50"/>
  </r>
  <r>
    <n v="3441"/>
    <x v="204"/>
    <x v="2"/>
    <d v="2024-09-23T00:00:00"/>
    <x v="1"/>
    <x v="2"/>
    <x v="0"/>
    <s v="No"/>
    <x v="1"/>
    <s v="Yes"/>
    <n v="20"/>
    <n v="5"/>
    <n v="25"/>
  </r>
  <r>
    <n v="3442"/>
    <x v="205"/>
    <x v="1"/>
    <d v="2024-09-24T00:00:00"/>
    <x v="0"/>
    <x v="1"/>
    <x v="1"/>
    <s v="No"/>
    <x v="1"/>
    <s v="No"/>
    <n v="0"/>
    <n v="0"/>
    <n v="5"/>
  </r>
  <r>
    <n v="3443"/>
    <x v="206"/>
    <x v="0"/>
    <d v="2024-09-25T00:00:00"/>
    <x v="1"/>
    <x v="0"/>
    <x v="2"/>
    <s v="Yes"/>
    <x v="0"/>
    <s v="Yes"/>
    <n v="20"/>
    <n v="20"/>
    <n v="45"/>
  </r>
  <r>
    <n v="3444"/>
    <x v="207"/>
    <x v="2"/>
    <d v="2024-09-26T00:00:00"/>
    <x v="0"/>
    <x v="2"/>
    <x v="2"/>
    <s v="No"/>
    <x v="1"/>
    <s v="Yes"/>
    <n v="20"/>
    <n v="12"/>
    <n v="18"/>
  </r>
  <r>
    <n v="3445"/>
    <x v="37"/>
    <x v="1"/>
    <d v="2024-09-27T00:00:00"/>
    <x v="1"/>
    <x v="1"/>
    <x v="0"/>
    <s v="No"/>
    <x v="1"/>
    <s v="No"/>
    <n v="0"/>
    <n v="2"/>
    <n v="3"/>
  </r>
  <r>
    <n v="3446"/>
    <x v="208"/>
    <x v="0"/>
    <d v="2024-09-28T00:00:00"/>
    <x v="0"/>
    <x v="0"/>
    <x v="1"/>
    <s v="Yes"/>
    <x v="0"/>
    <s v="Yes"/>
    <n v="20"/>
    <n v="5"/>
    <n v="60"/>
  </r>
  <r>
    <n v="3447"/>
    <x v="209"/>
    <x v="2"/>
    <d v="2024-09-29T00:00:00"/>
    <x v="1"/>
    <x v="2"/>
    <x v="0"/>
    <s v="No"/>
    <x v="1"/>
    <s v="Yes"/>
    <n v="20"/>
    <n v="10"/>
    <n v="20"/>
  </r>
  <r>
    <n v="3448"/>
    <x v="210"/>
    <x v="1"/>
    <d v="2024-09-30T00:00:00"/>
    <x v="0"/>
    <x v="1"/>
    <x v="2"/>
    <s v="No"/>
    <x v="1"/>
    <s v="No"/>
    <n v="0"/>
    <n v="0"/>
    <n v="5"/>
  </r>
  <r>
    <n v="3449"/>
    <x v="211"/>
    <x v="0"/>
    <d v="2024-10-01T00:00:00"/>
    <x v="1"/>
    <x v="0"/>
    <x v="0"/>
    <s v="Yes"/>
    <x v="0"/>
    <s v="Yes"/>
    <n v="20"/>
    <n v="3"/>
    <n v="62"/>
  </r>
  <r>
    <n v="3450"/>
    <x v="212"/>
    <x v="2"/>
    <d v="2024-10-02T00:00:00"/>
    <x v="0"/>
    <x v="2"/>
    <x v="1"/>
    <s v="No"/>
    <x v="1"/>
    <s v="Yes"/>
    <n v="20"/>
    <n v="15"/>
    <n v="15"/>
  </r>
  <r>
    <n v="3451"/>
    <x v="213"/>
    <x v="1"/>
    <d v="2024-10-03T00:00:00"/>
    <x v="1"/>
    <x v="1"/>
    <x v="0"/>
    <s v="No"/>
    <x v="1"/>
    <s v="No"/>
    <n v="0"/>
    <n v="1"/>
    <n v="4"/>
  </r>
  <r>
    <n v="3452"/>
    <x v="191"/>
    <x v="0"/>
    <d v="2024-10-04T00:00:00"/>
    <x v="0"/>
    <x v="0"/>
    <x v="2"/>
    <s v="Yes"/>
    <x v="0"/>
    <s v="Yes"/>
    <n v="20"/>
    <n v="7"/>
    <n v="58"/>
  </r>
  <r>
    <n v="3453"/>
    <x v="45"/>
    <x v="2"/>
    <d v="2024-10-05T00:00:00"/>
    <x v="1"/>
    <x v="2"/>
    <x v="0"/>
    <s v="No"/>
    <x v="1"/>
    <s v="Yes"/>
    <n v="20"/>
    <n v="10"/>
    <n v="20"/>
  </r>
  <r>
    <n v="3454"/>
    <x v="214"/>
    <x v="1"/>
    <d v="2024-10-06T00:00:00"/>
    <x v="0"/>
    <x v="1"/>
    <x v="1"/>
    <s v="No"/>
    <x v="1"/>
    <s v="No"/>
    <n v="0"/>
    <n v="0"/>
    <n v="5"/>
  </r>
  <r>
    <n v="3455"/>
    <x v="215"/>
    <x v="0"/>
    <d v="2024-10-07T00:00:00"/>
    <x v="1"/>
    <x v="0"/>
    <x v="0"/>
    <s v="Yes"/>
    <x v="0"/>
    <s v="Yes"/>
    <n v="20"/>
    <n v="20"/>
    <n v="45"/>
  </r>
  <r>
    <n v="3456"/>
    <x v="216"/>
    <x v="2"/>
    <d v="2024-10-08T00:00:00"/>
    <x v="0"/>
    <x v="2"/>
    <x v="2"/>
    <s v="No"/>
    <x v="1"/>
    <s v="Yes"/>
    <n v="20"/>
    <n v="15"/>
    <n v="15"/>
  </r>
  <r>
    <n v="3457"/>
    <x v="217"/>
    <x v="1"/>
    <d v="2024-10-09T00:00:00"/>
    <x v="1"/>
    <x v="1"/>
    <x v="0"/>
    <s v="No"/>
    <x v="1"/>
    <s v="No"/>
    <n v="0"/>
    <n v="1"/>
    <n v="4"/>
  </r>
  <r>
    <n v="3458"/>
    <x v="218"/>
    <x v="0"/>
    <d v="2024-10-10T00:00:00"/>
    <x v="0"/>
    <x v="0"/>
    <x v="1"/>
    <s v="Yes"/>
    <x v="0"/>
    <s v="Yes"/>
    <n v="20"/>
    <n v="3"/>
    <n v="62"/>
  </r>
  <r>
    <n v="3459"/>
    <x v="219"/>
    <x v="2"/>
    <d v="2024-10-11T00:00:00"/>
    <x v="1"/>
    <x v="2"/>
    <x v="0"/>
    <s v="No"/>
    <x v="1"/>
    <s v="Yes"/>
    <n v="20"/>
    <n v="10"/>
    <n v="20"/>
  </r>
  <r>
    <n v="3460"/>
    <x v="127"/>
    <x v="1"/>
    <d v="2024-10-12T00:00:00"/>
    <x v="0"/>
    <x v="1"/>
    <x v="2"/>
    <s v="No"/>
    <x v="1"/>
    <s v="No"/>
    <n v="0"/>
    <n v="0"/>
    <n v="5"/>
  </r>
  <r>
    <n v="3461"/>
    <x v="220"/>
    <x v="0"/>
    <d v="2024-10-13T00:00:00"/>
    <x v="1"/>
    <x v="0"/>
    <x v="0"/>
    <s v="Yes"/>
    <x v="0"/>
    <s v="Yes"/>
    <n v="20"/>
    <n v="15"/>
    <n v="50"/>
  </r>
  <r>
    <n v="3462"/>
    <x v="221"/>
    <x v="2"/>
    <d v="2024-10-14T00:00:00"/>
    <x v="0"/>
    <x v="2"/>
    <x v="1"/>
    <s v="No"/>
    <x v="1"/>
    <s v="Yes"/>
    <n v="20"/>
    <n v="15"/>
    <n v="15"/>
  </r>
  <r>
    <n v="3463"/>
    <x v="222"/>
    <x v="1"/>
    <d v="2024-10-15T00:00:00"/>
    <x v="1"/>
    <x v="1"/>
    <x v="0"/>
    <s v="No"/>
    <x v="1"/>
    <s v="No"/>
    <n v="0"/>
    <n v="1"/>
    <n v="4"/>
  </r>
  <r>
    <n v="3464"/>
    <x v="223"/>
    <x v="0"/>
    <d v="2024-10-16T00:00:00"/>
    <x v="0"/>
    <x v="0"/>
    <x v="2"/>
    <s v="Yes"/>
    <x v="0"/>
    <s v="Yes"/>
    <n v="20"/>
    <n v="7"/>
    <n v="58"/>
  </r>
  <r>
    <n v="3465"/>
    <x v="224"/>
    <x v="2"/>
    <d v="2024-10-17T00:00:00"/>
    <x v="1"/>
    <x v="2"/>
    <x v="0"/>
    <s v="No"/>
    <x v="1"/>
    <s v="Yes"/>
    <n v="20"/>
    <n v="10"/>
    <n v="20"/>
  </r>
  <r>
    <n v="3466"/>
    <x v="225"/>
    <x v="1"/>
    <d v="2024-10-18T00:00:00"/>
    <x v="0"/>
    <x v="1"/>
    <x v="1"/>
    <s v="No"/>
    <x v="1"/>
    <s v="No"/>
    <n v="0"/>
    <n v="0"/>
    <n v="5"/>
  </r>
  <r>
    <n v="3467"/>
    <x v="226"/>
    <x v="0"/>
    <d v="2024-10-19T00:00:00"/>
    <x v="1"/>
    <x v="0"/>
    <x v="0"/>
    <s v="Yes"/>
    <x v="0"/>
    <s v="Yes"/>
    <n v="20"/>
    <n v="15"/>
    <n v="50"/>
  </r>
  <r>
    <n v="3468"/>
    <x v="227"/>
    <x v="2"/>
    <d v="2024-10-20T00:00:00"/>
    <x v="0"/>
    <x v="2"/>
    <x v="2"/>
    <s v="No"/>
    <x v="1"/>
    <s v="Yes"/>
    <n v="20"/>
    <n v="12"/>
    <n v="18"/>
  </r>
  <r>
    <n v="3469"/>
    <x v="228"/>
    <x v="1"/>
    <d v="2024-10-21T00:00:00"/>
    <x v="1"/>
    <x v="1"/>
    <x v="0"/>
    <s v="No"/>
    <x v="1"/>
    <s v="No"/>
    <n v="0"/>
    <n v="2"/>
    <n v="3"/>
  </r>
  <r>
    <n v="3470"/>
    <x v="229"/>
    <x v="0"/>
    <d v="2024-10-22T00:00:00"/>
    <x v="0"/>
    <x v="0"/>
    <x v="1"/>
    <s v="Yes"/>
    <x v="0"/>
    <s v="Yes"/>
    <n v="20"/>
    <n v="5"/>
    <n v="60"/>
  </r>
  <r>
    <n v="3471"/>
    <x v="230"/>
    <x v="2"/>
    <d v="2024-10-23T00:00:00"/>
    <x v="1"/>
    <x v="2"/>
    <x v="0"/>
    <s v="No"/>
    <x v="1"/>
    <s v="Yes"/>
    <n v="20"/>
    <n v="10"/>
    <n v="20"/>
  </r>
  <r>
    <n v="3472"/>
    <x v="231"/>
    <x v="1"/>
    <d v="2024-10-24T00:00:00"/>
    <x v="0"/>
    <x v="1"/>
    <x v="2"/>
    <s v="No"/>
    <x v="1"/>
    <s v="No"/>
    <n v="0"/>
    <n v="0"/>
    <n v="5"/>
  </r>
  <r>
    <n v="3473"/>
    <x v="140"/>
    <x v="0"/>
    <d v="2024-10-25T00:00:00"/>
    <x v="1"/>
    <x v="0"/>
    <x v="0"/>
    <s v="Yes"/>
    <x v="0"/>
    <s v="Yes"/>
    <n v="20"/>
    <n v="3"/>
    <n v="62"/>
  </r>
  <r>
    <n v="3474"/>
    <x v="232"/>
    <x v="2"/>
    <d v="2024-10-26T00:00:00"/>
    <x v="0"/>
    <x v="2"/>
    <x v="1"/>
    <s v="No"/>
    <x v="1"/>
    <s v="Yes"/>
    <n v="20"/>
    <n v="15"/>
    <n v="15"/>
  </r>
  <r>
    <n v="3475"/>
    <x v="233"/>
    <x v="1"/>
    <d v="2024-10-27T00:00:00"/>
    <x v="1"/>
    <x v="1"/>
    <x v="0"/>
    <s v="No"/>
    <x v="1"/>
    <s v="No"/>
    <n v="0"/>
    <n v="1"/>
    <n v="4"/>
  </r>
  <r>
    <n v="3476"/>
    <x v="234"/>
    <x v="0"/>
    <d v="2024-10-28T00:00:00"/>
    <x v="0"/>
    <x v="0"/>
    <x v="2"/>
    <s v="Yes"/>
    <x v="0"/>
    <s v="Yes"/>
    <n v="20"/>
    <n v="7"/>
    <n v="58"/>
  </r>
  <r>
    <n v="3477"/>
    <x v="235"/>
    <x v="2"/>
    <d v="2024-10-29T00:00:00"/>
    <x v="1"/>
    <x v="2"/>
    <x v="0"/>
    <s v="No"/>
    <x v="1"/>
    <s v="Yes"/>
    <n v="20"/>
    <n v="10"/>
    <n v="20"/>
  </r>
  <r>
    <n v="3478"/>
    <x v="236"/>
    <x v="1"/>
    <d v="2024-10-30T00:00:00"/>
    <x v="0"/>
    <x v="1"/>
    <x v="1"/>
    <s v="No"/>
    <x v="1"/>
    <s v="No"/>
    <n v="0"/>
    <n v="0"/>
    <n v="5"/>
  </r>
  <r>
    <n v="3479"/>
    <x v="237"/>
    <x v="0"/>
    <d v="2024-10-31T00:00:00"/>
    <x v="1"/>
    <x v="0"/>
    <x v="0"/>
    <s v="Yes"/>
    <x v="0"/>
    <s v="Yes"/>
    <n v="20"/>
    <n v="20"/>
    <n v="45"/>
  </r>
  <r>
    <n v="3480"/>
    <x v="238"/>
    <x v="2"/>
    <d v="2024-11-01T00:00:00"/>
    <x v="0"/>
    <x v="2"/>
    <x v="2"/>
    <s v="No"/>
    <x v="1"/>
    <s v="Yes"/>
    <n v="20"/>
    <n v="15"/>
    <n v="15"/>
  </r>
  <r>
    <n v="3481"/>
    <x v="239"/>
    <x v="1"/>
    <d v="2024-11-02T00:00:00"/>
    <x v="1"/>
    <x v="1"/>
    <x v="0"/>
    <s v="No"/>
    <x v="1"/>
    <s v="No"/>
    <n v="0"/>
    <n v="1"/>
    <n v="4"/>
  </r>
  <r>
    <n v="3482"/>
    <x v="240"/>
    <x v="0"/>
    <d v="2024-11-03T00:00:00"/>
    <x v="0"/>
    <x v="0"/>
    <x v="1"/>
    <s v="Yes"/>
    <x v="0"/>
    <s v="Yes"/>
    <n v="20"/>
    <n v="3"/>
    <n v="62"/>
  </r>
  <r>
    <n v="3483"/>
    <x v="241"/>
    <x v="2"/>
    <d v="2024-11-04T00:00:00"/>
    <x v="1"/>
    <x v="2"/>
    <x v="0"/>
    <s v="No"/>
    <x v="1"/>
    <s v="Yes"/>
    <n v="20"/>
    <n v="10"/>
    <n v="20"/>
  </r>
  <r>
    <n v="3484"/>
    <x v="242"/>
    <x v="1"/>
    <d v="2024-11-05T00:00:00"/>
    <x v="0"/>
    <x v="1"/>
    <x v="2"/>
    <s v="No"/>
    <x v="1"/>
    <s v="No"/>
    <n v="0"/>
    <n v="0"/>
    <n v="5"/>
  </r>
  <r>
    <n v="3485"/>
    <x v="243"/>
    <x v="0"/>
    <d v="2024-11-06T00:00:00"/>
    <x v="1"/>
    <x v="0"/>
    <x v="0"/>
    <s v="Yes"/>
    <x v="0"/>
    <s v="Yes"/>
    <n v="20"/>
    <n v="15"/>
    <n v="50"/>
  </r>
  <r>
    <n v="3486"/>
    <x v="244"/>
    <x v="1"/>
    <d v="2024-11-07T00:00:00"/>
    <x v="0"/>
    <x v="1"/>
    <x v="0"/>
    <s v="No"/>
    <x v="1"/>
    <s v="No"/>
    <n v="0"/>
    <n v="0"/>
    <n v="5"/>
  </r>
  <r>
    <n v="3487"/>
    <x v="245"/>
    <x v="0"/>
    <d v="2024-11-08T00:00:00"/>
    <x v="1"/>
    <x v="0"/>
    <x v="2"/>
    <s v="Yes"/>
    <x v="0"/>
    <s v="Yes"/>
    <n v="20"/>
    <n v="7"/>
    <n v="58"/>
  </r>
  <r>
    <n v="3488"/>
    <x v="246"/>
    <x v="2"/>
    <d v="2024-11-09T00:00:00"/>
    <x v="0"/>
    <x v="2"/>
    <x v="1"/>
    <s v="No"/>
    <x v="1"/>
    <s v="Yes"/>
    <n v="20"/>
    <n v="10"/>
    <n v="20"/>
  </r>
  <r>
    <n v="3489"/>
    <x v="247"/>
    <x v="1"/>
    <d v="2024-11-10T00:00:00"/>
    <x v="1"/>
    <x v="1"/>
    <x v="2"/>
    <s v="No"/>
    <x v="1"/>
    <s v="No"/>
    <n v="0"/>
    <n v="1"/>
    <n v="4"/>
  </r>
  <r>
    <n v="3490"/>
    <x v="248"/>
    <x v="0"/>
    <d v="2024-11-11T00:00:00"/>
    <x v="0"/>
    <x v="0"/>
    <x v="0"/>
    <s v="Yes"/>
    <x v="0"/>
    <s v="Yes"/>
    <n v="20"/>
    <n v="15"/>
    <n v="50"/>
  </r>
  <r>
    <n v="3491"/>
    <x v="249"/>
    <x v="2"/>
    <d v="2024-11-12T00:00:00"/>
    <x v="1"/>
    <x v="2"/>
    <x v="0"/>
    <s v="No"/>
    <x v="1"/>
    <s v="Yes"/>
    <n v="20"/>
    <n v="5"/>
    <n v="25"/>
  </r>
  <r>
    <n v="3492"/>
    <x v="250"/>
    <x v="1"/>
    <d v="2024-11-13T00:00:00"/>
    <x v="0"/>
    <x v="1"/>
    <x v="1"/>
    <s v="No"/>
    <x v="1"/>
    <s v="No"/>
    <n v="0"/>
    <n v="0"/>
    <n v="5"/>
  </r>
  <r>
    <n v="3493"/>
    <x v="251"/>
    <x v="0"/>
    <d v="2024-11-14T00:00:00"/>
    <x v="1"/>
    <x v="0"/>
    <x v="2"/>
    <s v="Yes"/>
    <x v="0"/>
    <s v="Yes"/>
    <n v="20"/>
    <n v="20"/>
    <n v="45"/>
  </r>
  <r>
    <n v="3494"/>
    <x v="252"/>
    <x v="2"/>
    <d v="2024-11-15T00:00:00"/>
    <x v="0"/>
    <x v="2"/>
    <x v="2"/>
    <s v="No"/>
    <x v="1"/>
    <s v="Yes"/>
    <n v="20"/>
    <n v="12"/>
    <n v="18"/>
  </r>
  <r>
    <n v="3495"/>
    <x v="253"/>
    <x v="1"/>
    <d v="2024-11-16T00:00:00"/>
    <x v="1"/>
    <x v="1"/>
    <x v="0"/>
    <s v="No"/>
    <x v="1"/>
    <s v="No"/>
    <n v="0"/>
    <n v="2"/>
    <n v="3"/>
  </r>
  <r>
    <n v="3496"/>
    <x v="254"/>
    <x v="0"/>
    <d v="2024-11-17T00:00:00"/>
    <x v="0"/>
    <x v="0"/>
    <x v="1"/>
    <s v="Yes"/>
    <x v="0"/>
    <s v="Yes"/>
    <n v="20"/>
    <n v="5"/>
    <n v="60"/>
  </r>
  <r>
    <n v="3497"/>
    <x v="255"/>
    <x v="2"/>
    <d v="2024-11-18T00:00:00"/>
    <x v="1"/>
    <x v="2"/>
    <x v="0"/>
    <s v="No"/>
    <x v="1"/>
    <s v="Yes"/>
    <n v="20"/>
    <n v="10"/>
    <n v="20"/>
  </r>
  <r>
    <n v="3498"/>
    <x v="256"/>
    <x v="1"/>
    <d v="2024-11-19T00:00:00"/>
    <x v="0"/>
    <x v="1"/>
    <x v="2"/>
    <s v="No"/>
    <x v="1"/>
    <s v="No"/>
    <n v="0"/>
    <n v="0"/>
    <n v="5"/>
  </r>
  <r>
    <n v="3499"/>
    <x v="257"/>
    <x v="0"/>
    <d v="2024-11-20T00:00:00"/>
    <x v="1"/>
    <x v="0"/>
    <x v="0"/>
    <s v="Yes"/>
    <x v="0"/>
    <s v="Yes"/>
    <n v="20"/>
    <n v="3"/>
    <n v="62"/>
  </r>
  <r>
    <n v="3500"/>
    <x v="258"/>
    <x v="2"/>
    <d v="2024-11-21T00:00:00"/>
    <x v="0"/>
    <x v="2"/>
    <x v="1"/>
    <s v="No"/>
    <x v="1"/>
    <s v="Yes"/>
    <n v="20"/>
    <n v="15"/>
    <n v="15"/>
  </r>
  <r>
    <n v="3501"/>
    <x v="259"/>
    <x v="1"/>
    <d v="2024-11-22T00:00:00"/>
    <x v="1"/>
    <x v="1"/>
    <x v="0"/>
    <s v="No"/>
    <x v="1"/>
    <s v="No"/>
    <n v="0"/>
    <n v="1"/>
    <n v="4"/>
  </r>
  <r>
    <n v="3502"/>
    <x v="260"/>
    <x v="0"/>
    <d v="2024-11-23T00:00:00"/>
    <x v="0"/>
    <x v="0"/>
    <x v="2"/>
    <s v="Yes"/>
    <x v="0"/>
    <s v="Yes"/>
    <n v="20"/>
    <n v="7"/>
    <n v="58"/>
  </r>
  <r>
    <n v="3503"/>
    <x v="119"/>
    <x v="2"/>
    <d v="2024-11-24T00:00:00"/>
    <x v="1"/>
    <x v="2"/>
    <x v="0"/>
    <s v="No"/>
    <x v="1"/>
    <s v="Yes"/>
    <n v="20"/>
    <n v="10"/>
    <n v="20"/>
  </r>
  <r>
    <n v="3504"/>
    <x v="261"/>
    <x v="1"/>
    <d v="2024-11-25T00:00:00"/>
    <x v="0"/>
    <x v="1"/>
    <x v="1"/>
    <s v="No"/>
    <x v="1"/>
    <s v="No"/>
    <n v="0"/>
    <n v="0"/>
    <n v="5"/>
  </r>
  <r>
    <n v="3505"/>
    <x v="262"/>
    <x v="0"/>
    <d v="2024-11-26T00:00:00"/>
    <x v="1"/>
    <x v="0"/>
    <x v="0"/>
    <s v="Yes"/>
    <x v="0"/>
    <s v="Yes"/>
    <n v="20"/>
    <n v="20"/>
    <n v="45"/>
  </r>
  <r>
    <n v="3506"/>
    <x v="263"/>
    <x v="2"/>
    <d v="2024-11-27T00:00:00"/>
    <x v="0"/>
    <x v="2"/>
    <x v="2"/>
    <s v="No"/>
    <x v="1"/>
    <s v="Yes"/>
    <n v="20"/>
    <n v="15"/>
    <n v="15"/>
  </r>
  <r>
    <n v="3507"/>
    <x v="264"/>
    <x v="1"/>
    <d v="2024-11-28T00:00:00"/>
    <x v="1"/>
    <x v="1"/>
    <x v="0"/>
    <s v="No"/>
    <x v="1"/>
    <s v="No"/>
    <n v="0"/>
    <n v="1"/>
    <n v="4"/>
  </r>
  <r>
    <n v="3508"/>
    <x v="265"/>
    <x v="0"/>
    <d v="2024-11-29T00:00:00"/>
    <x v="0"/>
    <x v="0"/>
    <x v="1"/>
    <s v="Yes"/>
    <x v="0"/>
    <s v="Yes"/>
    <n v="20"/>
    <n v="3"/>
    <n v="62"/>
  </r>
  <r>
    <n v="3509"/>
    <x v="266"/>
    <x v="2"/>
    <d v="2024-11-30T00:00:00"/>
    <x v="1"/>
    <x v="2"/>
    <x v="0"/>
    <s v="No"/>
    <x v="1"/>
    <s v="Yes"/>
    <n v="20"/>
    <n v="10"/>
    <n v="20"/>
  </r>
  <r>
    <n v="3510"/>
    <x v="267"/>
    <x v="1"/>
    <d v="2024-12-01T00:00:00"/>
    <x v="0"/>
    <x v="1"/>
    <x v="2"/>
    <s v="No"/>
    <x v="1"/>
    <s v="No"/>
    <n v="0"/>
    <n v="0"/>
    <n v="5"/>
  </r>
  <r>
    <n v="3511"/>
    <x v="268"/>
    <x v="0"/>
    <d v="2024-12-02T00:00:00"/>
    <x v="1"/>
    <x v="0"/>
    <x v="0"/>
    <s v="Yes"/>
    <x v="0"/>
    <s v="Yes"/>
    <n v="20"/>
    <n v="15"/>
    <n v="50"/>
  </r>
  <r>
    <n v="3512"/>
    <x v="269"/>
    <x v="2"/>
    <d v="2024-12-03T00:00:00"/>
    <x v="0"/>
    <x v="2"/>
    <x v="1"/>
    <s v="No"/>
    <x v="1"/>
    <s v="Yes"/>
    <n v="20"/>
    <n v="15"/>
    <n v="15"/>
  </r>
  <r>
    <n v="3513"/>
    <x v="270"/>
    <x v="1"/>
    <d v="2024-12-04T00:00:00"/>
    <x v="1"/>
    <x v="1"/>
    <x v="0"/>
    <s v="No"/>
    <x v="1"/>
    <s v="No"/>
    <n v="0"/>
    <n v="1"/>
    <n v="4"/>
  </r>
  <r>
    <n v="3514"/>
    <x v="271"/>
    <x v="0"/>
    <d v="2024-12-05T00:00:00"/>
    <x v="0"/>
    <x v="0"/>
    <x v="2"/>
    <s v="Yes"/>
    <x v="0"/>
    <s v="Yes"/>
    <n v="20"/>
    <n v="7"/>
    <n v="58"/>
  </r>
  <r>
    <n v="3515"/>
    <x v="130"/>
    <x v="2"/>
    <d v="2024-12-06T00:00:00"/>
    <x v="1"/>
    <x v="2"/>
    <x v="0"/>
    <s v="No"/>
    <x v="1"/>
    <s v="Yes"/>
    <n v="20"/>
    <n v="10"/>
    <n v="20"/>
  </r>
  <r>
    <n v="3516"/>
    <x v="131"/>
    <x v="1"/>
    <d v="2024-12-07T00:00:00"/>
    <x v="0"/>
    <x v="1"/>
    <x v="1"/>
    <s v="No"/>
    <x v="1"/>
    <s v="No"/>
    <n v="0"/>
    <n v="0"/>
    <n v="5"/>
  </r>
  <r>
    <n v="3517"/>
    <x v="181"/>
    <x v="0"/>
    <d v="2024-12-08T00:00:00"/>
    <x v="1"/>
    <x v="0"/>
    <x v="0"/>
    <s v="Yes"/>
    <x v="0"/>
    <s v="Yes"/>
    <n v="20"/>
    <n v="20"/>
    <n v="45"/>
  </r>
  <r>
    <n v="3518"/>
    <x v="272"/>
    <x v="2"/>
    <d v="2024-12-09T00:00:00"/>
    <x v="0"/>
    <x v="2"/>
    <x v="2"/>
    <s v="No"/>
    <x v="1"/>
    <s v="Yes"/>
    <n v="20"/>
    <n v="12"/>
    <n v="18"/>
  </r>
  <r>
    <n v="3519"/>
    <x v="273"/>
    <x v="1"/>
    <d v="2024-12-10T00:00:00"/>
    <x v="1"/>
    <x v="1"/>
    <x v="0"/>
    <s v="No"/>
    <x v="1"/>
    <s v="No"/>
    <n v="0"/>
    <n v="2"/>
    <n v="3"/>
  </r>
  <r>
    <n v="3520"/>
    <x v="274"/>
    <x v="0"/>
    <d v="2024-12-11T00:00:00"/>
    <x v="0"/>
    <x v="0"/>
    <x v="1"/>
    <s v="Yes"/>
    <x v="0"/>
    <s v="Yes"/>
    <n v="20"/>
    <n v="5"/>
    <n v="60"/>
  </r>
  <r>
    <n v="3521"/>
    <x v="275"/>
    <x v="2"/>
    <d v="2024-12-12T00:00:00"/>
    <x v="1"/>
    <x v="2"/>
    <x v="0"/>
    <s v="No"/>
    <x v="1"/>
    <s v="Yes"/>
    <n v="20"/>
    <n v="10"/>
    <n v="20"/>
  </r>
  <r>
    <n v="3522"/>
    <x v="276"/>
    <x v="1"/>
    <d v="2024-12-13T00:00:00"/>
    <x v="0"/>
    <x v="1"/>
    <x v="2"/>
    <s v="No"/>
    <x v="1"/>
    <s v="No"/>
    <n v="0"/>
    <n v="0"/>
    <n v="5"/>
  </r>
  <r>
    <n v="3523"/>
    <x v="277"/>
    <x v="0"/>
    <d v="2024-12-14T00:00:00"/>
    <x v="1"/>
    <x v="0"/>
    <x v="0"/>
    <s v="Yes"/>
    <x v="0"/>
    <s v="Yes"/>
    <n v="20"/>
    <n v="3"/>
    <n v="62"/>
  </r>
  <r>
    <n v="3524"/>
    <x v="278"/>
    <x v="2"/>
    <d v="2024-12-15T00:00:00"/>
    <x v="0"/>
    <x v="2"/>
    <x v="1"/>
    <s v="No"/>
    <x v="1"/>
    <s v="Yes"/>
    <n v="20"/>
    <n v="15"/>
    <n v="15"/>
  </r>
  <r>
    <n v="3525"/>
    <x v="279"/>
    <x v="1"/>
    <d v="2024-12-16T00:00:00"/>
    <x v="1"/>
    <x v="1"/>
    <x v="0"/>
    <s v="No"/>
    <x v="1"/>
    <s v="No"/>
    <n v="0"/>
    <n v="1"/>
    <n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3">
  <r>
    <n v="3231"/>
    <s v="João Silva"/>
    <s v="Ultimate"/>
    <d v="2024-01-01T00:00:00"/>
    <s v="Yes"/>
    <n v="15"/>
    <x v="0"/>
    <x v="0"/>
    <n v="30"/>
    <x v="0"/>
    <n v="20"/>
    <n v="5"/>
    <x v="0"/>
  </r>
  <r>
    <n v="3232"/>
    <s v="Maria Oliveira"/>
    <s v="Core"/>
    <d v="2024-01-15T00:00:00"/>
    <s v="No"/>
    <n v="5"/>
    <x v="1"/>
    <x v="1"/>
    <s v="-"/>
    <x v="1"/>
    <n v="0"/>
    <n v="0"/>
    <x v="1"/>
  </r>
  <r>
    <n v="3233"/>
    <s v="Lucas Fernandes"/>
    <s v="Standard"/>
    <d v="2024-02-10T00:00:00"/>
    <s v="Yes"/>
    <n v="10"/>
    <x v="2"/>
    <x v="1"/>
    <s v="-"/>
    <x v="0"/>
    <n v="20"/>
    <n v="10"/>
    <x v="2"/>
  </r>
  <r>
    <n v="3234"/>
    <s v="Ana Souza"/>
    <s v="Ultimate"/>
    <d v="2024-02-20T00:00:00"/>
    <s v="No"/>
    <n v="15"/>
    <x v="0"/>
    <x v="0"/>
    <n v="30"/>
    <x v="0"/>
    <n v="20"/>
    <n v="3"/>
    <x v="3"/>
  </r>
  <r>
    <n v="3235"/>
    <s v="Pedro Gonçalves"/>
    <s v="Core"/>
    <d v="2024-03-05T00:00:00"/>
    <s v="Yes"/>
    <n v="5"/>
    <x v="0"/>
    <x v="1"/>
    <s v="-"/>
    <x v="1"/>
    <n v="0"/>
    <n v="1"/>
    <x v="4"/>
  </r>
  <r>
    <n v="3236"/>
    <s v="Felipe Costa"/>
    <s v="Standard"/>
    <d v="2024-03-02T00:00:00"/>
    <s v="No"/>
    <n v="10"/>
    <x v="0"/>
    <x v="1"/>
    <s v="-"/>
    <x v="0"/>
    <n v="20"/>
    <n v="2"/>
    <x v="5"/>
  </r>
  <r>
    <n v="3237"/>
    <s v="Camila Ribeiro"/>
    <s v="Ultimate"/>
    <d v="2024-03-03T00:00:00"/>
    <s v="Yes"/>
    <n v="15"/>
    <x v="2"/>
    <x v="0"/>
    <n v="30"/>
    <x v="0"/>
    <n v="20"/>
    <n v="10"/>
    <x v="6"/>
  </r>
  <r>
    <n v="3238"/>
    <s v="André Mendes"/>
    <s v="Core"/>
    <d v="2024-03-04T00:00:00"/>
    <s v="Yes"/>
    <n v="5"/>
    <x v="1"/>
    <x v="1"/>
    <s v="-"/>
    <x v="1"/>
    <n v="0"/>
    <n v="0"/>
    <x v="1"/>
  </r>
  <r>
    <n v="3239"/>
    <s v="Sofia Almeida"/>
    <s v="Ultimate"/>
    <d v="2024-03-05T00:00:00"/>
    <s v="No"/>
    <n v="15"/>
    <x v="0"/>
    <x v="0"/>
    <n v="30"/>
    <x v="0"/>
    <n v="20"/>
    <n v="5"/>
    <x v="0"/>
  </r>
  <r>
    <n v="3240"/>
    <s v="Bruno Martins"/>
    <s v="Standard"/>
    <d v="2024-03-06T00:00:00"/>
    <s v="Yes"/>
    <n v="10"/>
    <x v="2"/>
    <x v="1"/>
    <s v="-"/>
    <x v="0"/>
    <n v="20"/>
    <n v="15"/>
    <x v="7"/>
  </r>
  <r>
    <n v="3241"/>
    <s v="Rita Castro"/>
    <s v="Core"/>
    <d v="2024-03-07T00:00:00"/>
    <s v="No"/>
    <n v="5"/>
    <x v="0"/>
    <x v="1"/>
    <s v="-"/>
    <x v="1"/>
    <n v="0"/>
    <n v="1"/>
    <x v="4"/>
  </r>
  <r>
    <n v="3242"/>
    <s v="Marco Túlio"/>
    <s v="Ultimate"/>
    <d v="2024-03-08T00:00:00"/>
    <s v="Yes"/>
    <n v="15"/>
    <x v="1"/>
    <x v="0"/>
    <n v="30"/>
    <x v="0"/>
    <n v="20"/>
    <n v="20"/>
    <x v="8"/>
  </r>
  <r>
    <n v="3243"/>
    <s v="Lívia Silveira"/>
    <s v="Standard"/>
    <d v="2024-03-09T00:00:00"/>
    <s v="No"/>
    <n v="10"/>
    <x v="0"/>
    <x v="1"/>
    <s v="-"/>
    <x v="0"/>
    <n v="20"/>
    <n v="10"/>
    <x v="2"/>
  </r>
  <r>
    <n v="3244"/>
    <s v="Diogo Sousa"/>
    <s v="Core"/>
    <d v="2024-03-10T00:00:00"/>
    <s v="Yes"/>
    <n v="5"/>
    <x v="2"/>
    <x v="1"/>
    <s v="-"/>
    <x v="1"/>
    <n v="0"/>
    <n v="0"/>
    <x v="1"/>
  </r>
  <r>
    <n v="3245"/>
    <s v="Fernanda Lima"/>
    <s v="Ultimate"/>
    <d v="2024-03-11T00:00:00"/>
    <s v="No"/>
    <n v="15"/>
    <x v="0"/>
    <x v="0"/>
    <n v="30"/>
    <x v="0"/>
    <n v="20"/>
    <n v="8"/>
    <x v="9"/>
  </r>
  <r>
    <n v="3246"/>
    <s v="Caio Pereira"/>
    <s v="Standard"/>
    <d v="2024-03-12T00:00:00"/>
    <s v="Yes"/>
    <n v="10"/>
    <x v="1"/>
    <x v="1"/>
    <s v="-"/>
    <x v="0"/>
    <n v="20"/>
    <n v="12"/>
    <x v="10"/>
  </r>
  <r>
    <n v="3247"/>
    <s v="Beatriz Gomes"/>
    <s v="Core"/>
    <d v="2024-03-13T00:00:00"/>
    <s v="No"/>
    <n v="5"/>
    <x v="0"/>
    <x v="1"/>
    <s v="-"/>
    <x v="1"/>
    <n v="0"/>
    <n v="2"/>
    <x v="11"/>
  </r>
  <r>
    <n v="3248"/>
    <s v="Cesar Oliveira"/>
    <s v="Ultimate"/>
    <d v="2024-03-14T00:00:00"/>
    <s v="Yes"/>
    <n v="15"/>
    <x v="2"/>
    <x v="0"/>
    <n v="30"/>
    <x v="0"/>
    <n v="20"/>
    <n v="7"/>
    <x v="12"/>
  </r>
  <r>
    <n v="3249"/>
    <s v="Débora Machado"/>
    <s v="Standard"/>
    <d v="2024-03-15T00:00:00"/>
    <s v="No"/>
    <n v="10"/>
    <x v="0"/>
    <x v="1"/>
    <s v="-"/>
    <x v="0"/>
    <n v="20"/>
    <n v="5"/>
    <x v="13"/>
  </r>
  <r>
    <n v="3250"/>
    <s v="Eduardo Vargas"/>
    <s v="Core"/>
    <d v="2024-03-16T00:00:00"/>
    <s v="Yes"/>
    <n v="5"/>
    <x v="1"/>
    <x v="1"/>
    <s v="-"/>
    <x v="1"/>
    <n v="0"/>
    <n v="0"/>
    <x v="1"/>
  </r>
  <r>
    <n v="3251"/>
    <s v="Gabriela Santos"/>
    <s v="Ultimate"/>
    <d v="2024-03-17T00:00:00"/>
    <s v="No"/>
    <n v="15"/>
    <x v="0"/>
    <x v="0"/>
    <n v="30"/>
    <x v="0"/>
    <n v="20"/>
    <n v="3"/>
    <x v="3"/>
  </r>
  <r>
    <n v="3252"/>
    <s v="Henrique Dias"/>
    <s v="Standard"/>
    <d v="2024-03-18T00:00:00"/>
    <s v="Yes"/>
    <n v="10"/>
    <x v="2"/>
    <x v="1"/>
    <s v="-"/>
    <x v="0"/>
    <n v="20"/>
    <n v="15"/>
    <x v="7"/>
  </r>
  <r>
    <n v="3253"/>
    <s v="Isabela Moreira"/>
    <s v="Core"/>
    <d v="2024-03-19T00:00:00"/>
    <s v="No"/>
    <n v="5"/>
    <x v="0"/>
    <x v="1"/>
    <s v="-"/>
    <x v="1"/>
    <n v="0"/>
    <n v="1"/>
    <x v="4"/>
  </r>
  <r>
    <n v="3254"/>
    <s v="Joaquim Barbosa"/>
    <s v="Ultimate"/>
    <d v="2024-03-20T00:00:00"/>
    <s v="Yes"/>
    <n v="15"/>
    <x v="1"/>
    <x v="0"/>
    <n v="30"/>
    <x v="0"/>
    <n v="20"/>
    <n v="20"/>
    <x v="8"/>
  </r>
  <r>
    <n v="3255"/>
    <s v="Lara Rocha"/>
    <s v="Standard"/>
    <d v="2024-03-21T00:00:00"/>
    <s v="No"/>
    <n v="10"/>
    <x v="0"/>
    <x v="1"/>
    <s v="-"/>
    <x v="0"/>
    <n v="20"/>
    <n v="10"/>
    <x v="2"/>
  </r>
  <r>
    <n v="3256"/>
    <s v="Matheus Silva"/>
    <s v="Core"/>
    <d v="2024-03-22T00:00:00"/>
    <s v="Yes"/>
    <n v="5"/>
    <x v="2"/>
    <x v="1"/>
    <s v="-"/>
    <x v="1"/>
    <n v="0"/>
    <n v="0"/>
    <x v="1"/>
  </r>
  <r>
    <n v="3257"/>
    <s v="Nicole Costa"/>
    <s v="Ultimate"/>
    <d v="2024-03-23T00:00:00"/>
    <s v="No"/>
    <n v="15"/>
    <x v="0"/>
    <x v="0"/>
    <n v="30"/>
    <x v="0"/>
    <n v="20"/>
    <n v="5"/>
    <x v="0"/>
  </r>
  <r>
    <n v="3258"/>
    <s v="Otávio Mendonça"/>
    <s v="Standard"/>
    <d v="2024-03-24T00:00:00"/>
    <s v="Yes"/>
    <n v="10"/>
    <x v="1"/>
    <x v="1"/>
    <s v="-"/>
    <x v="0"/>
    <n v="20"/>
    <n v="15"/>
    <x v="7"/>
  </r>
  <r>
    <n v="3259"/>
    <s v="Paula Ferreira"/>
    <s v="Core"/>
    <d v="2024-03-25T00:00:00"/>
    <s v="No"/>
    <n v="5"/>
    <x v="0"/>
    <x v="1"/>
    <s v="-"/>
    <x v="1"/>
    <n v="0"/>
    <n v="1"/>
    <x v="4"/>
  </r>
  <r>
    <n v="3260"/>
    <s v="Raquel Alves"/>
    <s v="Ultimate"/>
    <d v="2024-03-26T00:00:00"/>
    <s v="Yes"/>
    <n v="15"/>
    <x v="2"/>
    <x v="0"/>
    <n v="30"/>
    <x v="0"/>
    <n v="20"/>
    <n v="7"/>
    <x v="12"/>
  </r>
  <r>
    <n v="3261"/>
    <s v="Samuel Pires"/>
    <s v="Standard"/>
    <d v="2024-03-27T00:00:00"/>
    <s v="No"/>
    <n v="10"/>
    <x v="0"/>
    <x v="1"/>
    <s v="-"/>
    <x v="0"/>
    <n v="20"/>
    <n v="10"/>
    <x v="2"/>
  </r>
  <r>
    <n v="3262"/>
    <s v="Tânia Barros"/>
    <s v="Core"/>
    <d v="2024-03-28T00:00:00"/>
    <s v="Yes"/>
    <n v="5"/>
    <x v="1"/>
    <x v="1"/>
    <s v="-"/>
    <x v="1"/>
    <n v="0"/>
    <n v="0"/>
    <x v="1"/>
  </r>
  <r>
    <n v="3263"/>
    <s v="Vinicius Lima"/>
    <s v="Ultimate"/>
    <d v="2024-03-29T00:00:00"/>
    <s v="No"/>
    <n v="15"/>
    <x v="0"/>
    <x v="0"/>
    <n v="30"/>
    <x v="0"/>
    <n v="20"/>
    <n v="3"/>
    <x v="3"/>
  </r>
  <r>
    <n v="3264"/>
    <s v="Yasmin Teixeira"/>
    <s v="Standard"/>
    <d v="2024-03-30T00:00:00"/>
    <s v="Yes"/>
    <n v="10"/>
    <x v="2"/>
    <x v="1"/>
    <s v="-"/>
    <x v="0"/>
    <n v="20"/>
    <n v="15"/>
    <x v="7"/>
  </r>
  <r>
    <n v="3265"/>
    <s v="Zé Carlos"/>
    <s v="Core"/>
    <d v="2024-03-31T00:00:00"/>
    <s v="No"/>
    <n v="5"/>
    <x v="0"/>
    <x v="1"/>
    <s v="-"/>
    <x v="1"/>
    <n v="0"/>
    <n v="1"/>
    <x v="4"/>
  </r>
  <r>
    <n v="3266"/>
    <s v="Amanda Nogueira"/>
    <s v="Core"/>
    <d v="2024-04-01T00:00:00"/>
    <s v="Yes"/>
    <n v="5"/>
    <x v="0"/>
    <x v="1"/>
    <s v="-"/>
    <x v="1"/>
    <n v="0"/>
    <n v="0"/>
    <x v="1"/>
  </r>
  <r>
    <n v="3267"/>
    <s v="Bruno Cavalheiro"/>
    <s v="Ultimate"/>
    <d v="2024-04-02T00:00:00"/>
    <s v="No"/>
    <n v="15"/>
    <x v="2"/>
    <x v="0"/>
    <n v="30"/>
    <x v="0"/>
    <n v="20"/>
    <n v="7"/>
    <x v="12"/>
  </r>
  <r>
    <n v="3268"/>
    <s v="Carla Dias"/>
    <s v="Standard"/>
    <d v="2024-04-03T00:00:00"/>
    <s v="Yes"/>
    <n v="10"/>
    <x v="1"/>
    <x v="1"/>
    <s v="-"/>
    <x v="0"/>
    <n v="20"/>
    <n v="10"/>
    <x v="2"/>
  </r>
  <r>
    <n v="3269"/>
    <s v="Diego Fontes"/>
    <s v="Core"/>
    <d v="2024-04-04T00:00:00"/>
    <s v="No"/>
    <n v="5"/>
    <x v="2"/>
    <x v="1"/>
    <s v="-"/>
    <x v="1"/>
    <n v="0"/>
    <n v="1"/>
    <x v="4"/>
  </r>
  <r>
    <n v="3270"/>
    <s v="Eunice Lima"/>
    <s v="Ultimate"/>
    <d v="2024-04-05T00:00:00"/>
    <s v="Yes"/>
    <n v="15"/>
    <x v="0"/>
    <x v="0"/>
    <n v="30"/>
    <x v="0"/>
    <n v="20"/>
    <n v="15"/>
    <x v="14"/>
  </r>
  <r>
    <n v="3271"/>
    <s v="Fábio Martins"/>
    <s v="Standard"/>
    <d v="2024-04-06T00:00:00"/>
    <s v="No"/>
    <n v="10"/>
    <x v="0"/>
    <x v="1"/>
    <s v="-"/>
    <x v="0"/>
    <n v="20"/>
    <n v="5"/>
    <x v="13"/>
  </r>
  <r>
    <n v="3272"/>
    <s v="Gisele Araújo"/>
    <s v="Core"/>
    <d v="2024-04-07T00:00:00"/>
    <s v="Yes"/>
    <n v="5"/>
    <x v="1"/>
    <x v="1"/>
    <s v="-"/>
    <x v="1"/>
    <n v="0"/>
    <n v="0"/>
    <x v="1"/>
  </r>
  <r>
    <n v="3273"/>
    <s v="Hélio Castro"/>
    <s v="Ultimate"/>
    <d v="2024-04-08T00:00:00"/>
    <s v="No"/>
    <n v="15"/>
    <x v="2"/>
    <x v="0"/>
    <n v="30"/>
    <x v="0"/>
    <n v="20"/>
    <n v="20"/>
    <x v="8"/>
  </r>
  <r>
    <n v="3274"/>
    <s v="Ingrid Menezes"/>
    <s v="Standard"/>
    <d v="2024-04-09T00:00:00"/>
    <s v="Yes"/>
    <n v="10"/>
    <x v="2"/>
    <x v="1"/>
    <s v="-"/>
    <x v="0"/>
    <n v="20"/>
    <n v="12"/>
    <x v="10"/>
  </r>
  <r>
    <n v="3275"/>
    <s v="Jorge Baptista"/>
    <s v="Core"/>
    <d v="2024-04-10T00:00:00"/>
    <s v="No"/>
    <n v="5"/>
    <x v="0"/>
    <x v="1"/>
    <s v="-"/>
    <x v="1"/>
    <n v="0"/>
    <n v="2"/>
    <x v="11"/>
  </r>
  <r>
    <n v="3276"/>
    <s v="Kléber Oliveira"/>
    <s v="Ultimate"/>
    <d v="2024-04-11T00:00:00"/>
    <s v="Yes"/>
    <n v="15"/>
    <x v="1"/>
    <x v="0"/>
    <n v="30"/>
    <x v="0"/>
    <n v="20"/>
    <n v="5"/>
    <x v="0"/>
  </r>
  <r>
    <n v="3277"/>
    <s v="Luciana Freitas"/>
    <s v="Standard"/>
    <d v="2024-04-12T00:00:00"/>
    <s v="No"/>
    <n v="10"/>
    <x v="0"/>
    <x v="1"/>
    <s v="-"/>
    <x v="0"/>
    <n v="20"/>
    <n v="10"/>
    <x v="2"/>
  </r>
  <r>
    <n v="3278"/>
    <s v="Márcia Eller"/>
    <s v="Core"/>
    <d v="2024-04-13T00:00:00"/>
    <s v="Yes"/>
    <n v="5"/>
    <x v="2"/>
    <x v="1"/>
    <s v="-"/>
    <x v="1"/>
    <n v="0"/>
    <n v="0"/>
    <x v="1"/>
  </r>
  <r>
    <n v="3279"/>
    <s v="Nilo Peçanha"/>
    <s v="Ultimate"/>
    <d v="2024-04-14T00:00:00"/>
    <s v="No"/>
    <n v="15"/>
    <x v="0"/>
    <x v="0"/>
    <n v="30"/>
    <x v="0"/>
    <n v="20"/>
    <n v="3"/>
    <x v="3"/>
  </r>
  <r>
    <n v="3280"/>
    <s v="Oscar Neves"/>
    <s v="Standard"/>
    <d v="2024-04-15T00:00:00"/>
    <s v="Yes"/>
    <n v="10"/>
    <x v="1"/>
    <x v="1"/>
    <s v="-"/>
    <x v="0"/>
    <n v="20"/>
    <n v="15"/>
    <x v="7"/>
  </r>
  <r>
    <n v="3281"/>
    <s v="Patrícia Soares"/>
    <s v="Core"/>
    <d v="2024-04-16T00:00:00"/>
    <s v="No"/>
    <n v="5"/>
    <x v="0"/>
    <x v="1"/>
    <s v="-"/>
    <x v="1"/>
    <n v="0"/>
    <n v="1"/>
    <x v="4"/>
  </r>
  <r>
    <n v="3282"/>
    <s v="Quirino Gonçalves"/>
    <s v="Ultimate"/>
    <d v="2024-04-17T00:00:00"/>
    <s v="Yes"/>
    <n v="15"/>
    <x v="2"/>
    <x v="0"/>
    <n v="30"/>
    <x v="0"/>
    <n v="20"/>
    <n v="7"/>
    <x v="12"/>
  </r>
  <r>
    <n v="3283"/>
    <s v="Raul Machado"/>
    <s v="Standard"/>
    <d v="2024-04-18T00:00:00"/>
    <s v="No"/>
    <n v="10"/>
    <x v="0"/>
    <x v="1"/>
    <s v="-"/>
    <x v="0"/>
    <n v="20"/>
    <n v="10"/>
    <x v="2"/>
  </r>
  <r>
    <n v="3284"/>
    <s v="Sônia Lobo"/>
    <s v="Core"/>
    <d v="2024-04-19T00:00:00"/>
    <s v="Yes"/>
    <n v="5"/>
    <x v="1"/>
    <x v="1"/>
    <s v="-"/>
    <x v="1"/>
    <n v="0"/>
    <n v="0"/>
    <x v="1"/>
  </r>
  <r>
    <n v="3285"/>
    <s v="Tiago Ramos"/>
    <s v="Ultimate"/>
    <d v="2024-04-20T00:00:00"/>
    <s v="No"/>
    <n v="15"/>
    <x v="0"/>
    <x v="0"/>
    <n v="30"/>
    <x v="0"/>
    <n v="20"/>
    <n v="20"/>
    <x v="8"/>
  </r>
  <r>
    <n v="3286"/>
    <s v="Ugo Pires"/>
    <s v="Standard"/>
    <d v="2024-04-21T00:00:00"/>
    <s v="Yes"/>
    <n v="10"/>
    <x v="2"/>
    <x v="1"/>
    <s v="-"/>
    <x v="0"/>
    <n v="20"/>
    <n v="15"/>
    <x v="7"/>
  </r>
  <r>
    <n v="3287"/>
    <s v="Valéria Nobre"/>
    <s v="Core"/>
    <d v="2024-04-22T00:00:00"/>
    <s v="No"/>
    <n v="5"/>
    <x v="0"/>
    <x v="1"/>
    <s v="-"/>
    <x v="1"/>
    <n v="0"/>
    <n v="1"/>
    <x v="4"/>
  </r>
  <r>
    <n v="3288"/>
    <s v="William Siqueira"/>
    <s v="Ultimate"/>
    <d v="2024-04-23T00:00:00"/>
    <s v="Yes"/>
    <n v="15"/>
    <x v="1"/>
    <x v="0"/>
    <n v="30"/>
    <x v="0"/>
    <n v="20"/>
    <n v="3"/>
    <x v="3"/>
  </r>
  <r>
    <n v="3289"/>
    <s v="Xuxa Meneghel"/>
    <s v="Standard"/>
    <d v="2024-04-24T00:00:00"/>
    <s v="No"/>
    <n v="10"/>
    <x v="0"/>
    <x v="1"/>
    <s v="-"/>
    <x v="0"/>
    <n v="20"/>
    <n v="10"/>
    <x v="2"/>
  </r>
  <r>
    <n v="3290"/>
    <s v="Yara Figueiredo"/>
    <s v="Core"/>
    <d v="2024-04-25T00:00:00"/>
    <s v="Yes"/>
    <n v="5"/>
    <x v="2"/>
    <x v="1"/>
    <s v="-"/>
    <x v="1"/>
    <n v="0"/>
    <n v="0"/>
    <x v="1"/>
  </r>
  <r>
    <n v="3291"/>
    <s v="Zacarias Alves"/>
    <s v="Ultimate"/>
    <d v="2024-04-26T00:00:00"/>
    <s v="No"/>
    <n v="15"/>
    <x v="0"/>
    <x v="0"/>
    <n v="30"/>
    <x v="0"/>
    <n v="20"/>
    <n v="5"/>
    <x v="0"/>
  </r>
  <r>
    <n v="3292"/>
    <s v="Amanda Bynes"/>
    <s v="Standard"/>
    <d v="2024-04-27T00:00:00"/>
    <s v="Yes"/>
    <n v="10"/>
    <x v="1"/>
    <x v="1"/>
    <s v="-"/>
    <x v="0"/>
    <n v="20"/>
    <n v="15"/>
    <x v="7"/>
  </r>
  <r>
    <n v="3293"/>
    <s v="Bruno Mars"/>
    <s v="Core"/>
    <d v="2024-04-28T00:00:00"/>
    <s v="No"/>
    <n v="5"/>
    <x v="0"/>
    <x v="1"/>
    <s v="-"/>
    <x v="1"/>
    <n v="0"/>
    <n v="1"/>
    <x v="4"/>
  </r>
  <r>
    <n v="3294"/>
    <s v="Carla Bruni"/>
    <s v="Ultimate"/>
    <d v="2024-04-29T00:00:00"/>
    <s v="Yes"/>
    <n v="15"/>
    <x v="2"/>
    <x v="0"/>
    <n v="30"/>
    <x v="0"/>
    <n v="20"/>
    <n v="20"/>
    <x v="8"/>
  </r>
  <r>
    <n v="3295"/>
    <s v="Diego Maradona"/>
    <s v="Standard"/>
    <d v="2024-04-30T00:00:00"/>
    <s v="No"/>
    <n v="10"/>
    <x v="0"/>
    <x v="1"/>
    <s v="-"/>
    <x v="0"/>
    <n v="20"/>
    <n v="5"/>
    <x v="13"/>
  </r>
  <r>
    <n v="3296"/>
    <s v="Estela Marques"/>
    <s v="Core"/>
    <d v="2024-05-01T00:00:00"/>
    <s v="No"/>
    <n v="5"/>
    <x v="0"/>
    <x v="1"/>
    <s v="-"/>
    <x v="1"/>
    <n v="0"/>
    <n v="0"/>
    <x v="1"/>
  </r>
  <r>
    <n v="3297"/>
    <s v="Fábio Nobre"/>
    <s v="Ultimate"/>
    <d v="2024-05-02T00:00:00"/>
    <s v="Yes"/>
    <n v="15"/>
    <x v="2"/>
    <x v="0"/>
    <n v="30"/>
    <x v="0"/>
    <n v="20"/>
    <n v="7"/>
    <x v="12"/>
  </r>
  <r>
    <n v="3298"/>
    <s v="Gabriel Oliveira"/>
    <s v="Standard"/>
    <d v="2024-05-03T00:00:00"/>
    <s v="No"/>
    <n v="10"/>
    <x v="1"/>
    <x v="1"/>
    <s v="-"/>
    <x v="0"/>
    <n v="20"/>
    <n v="10"/>
    <x v="2"/>
  </r>
  <r>
    <n v="3299"/>
    <s v="Helena Santos"/>
    <s v="Core"/>
    <d v="2024-05-04T00:00:00"/>
    <s v="Yes"/>
    <n v="5"/>
    <x v="2"/>
    <x v="1"/>
    <s v="-"/>
    <x v="1"/>
    <n v="0"/>
    <n v="1"/>
    <x v="4"/>
  </r>
  <r>
    <n v="3300"/>
    <s v="Ivan Carvalho"/>
    <s v="Ultimate"/>
    <d v="2024-05-05T00:00:00"/>
    <s v="No"/>
    <n v="15"/>
    <x v="0"/>
    <x v="0"/>
    <n v="30"/>
    <x v="0"/>
    <n v="20"/>
    <n v="15"/>
    <x v="14"/>
  </r>
  <r>
    <n v="3301"/>
    <s v="Júlia Ferreira"/>
    <s v="Standard"/>
    <d v="2024-05-06T00:00:00"/>
    <s v="Yes"/>
    <n v="10"/>
    <x v="0"/>
    <x v="1"/>
    <s v="-"/>
    <x v="0"/>
    <n v="20"/>
    <n v="5"/>
    <x v="13"/>
  </r>
  <r>
    <n v="3302"/>
    <s v="Karla Alves"/>
    <s v="Core"/>
    <d v="2024-05-07T00:00:00"/>
    <s v="No"/>
    <n v="5"/>
    <x v="1"/>
    <x v="1"/>
    <s v="-"/>
    <x v="1"/>
    <n v="0"/>
    <n v="0"/>
    <x v="1"/>
  </r>
  <r>
    <n v="3303"/>
    <s v="Lucas Mendes"/>
    <s v="Ultimate"/>
    <d v="2024-05-08T00:00:00"/>
    <s v="Yes"/>
    <n v="15"/>
    <x v="2"/>
    <x v="0"/>
    <n v="30"/>
    <x v="0"/>
    <n v="20"/>
    <n v="20"/>
    <x v="8"/>
  </r>
  <r>
    <n v="3304"/>
    <s v="Mônica Gomes"/>
    <s v="Standard"/>
    <d v="2024-05-09T00:00:00"/>
    <s v="No"/>
    <n v="10"/>
    <x v="2"/>
    <x v="1"/>
    <s v="-"/>
    <x v="0"/>
    <n v="20"/>
    <n v="12"/>
    <x v="10"/>
  </r>
  <r>
    <n v="3305"/>
    <s v="Norberto Queiroz"/>
    <s v="Core"/>
    <d v="2024-05-10T00:00:00"/>
    <s v="Yes"/>
    <n v="5"/>
    <x v="0"/>
    <x v="1"/>
    <s v="-"/>
    <x v="1"/>
    <n v="0"/>
    <n v="2"/>
    <x v="11"/>
  </r>
  <r>
    <n v="3306"/>
    <s v="Otávio Barros"/>
    <s v="Ultimate"/>
    <d v="2024-05-11T00:00:00"/>
    <s v="No"/>
    <n v="15"/>
    <x v="1"/>
    <x v="0"/>
    <n v="30"/>
    <x v="0"/>
    <n v="20"/>
    <n v="5"/>
    <x v="0"/>
  </r>
  <r>
    <n v="3307"/>
    <s v="Paula Vieira"/>
    <s v="Standard"/>
    <d v="2024-05-12T00:00:00"/>
    <s v="Yes"/>
    <n v="10"/>
    <x v="0"/>
    <x v="1"/>
    <s v="-"/>
    <x v="0"/>
    <n v="20"/>
    <n v="10"/>
    <x v="2"/>
  </r>
  <r>
    <n v="3308"/>
    <s v="Quentin Ramos"/>
    <s v="Core"/>
    <d v="2024-05-13T00:00:00"/>
    <s v="No"/>
    <n v="5"/>
    <x v="2"/>
    <x v="1"/>
    <s v="-"/>
    <x v="1"/>
    <n v="0"/>
    <n v="0"/>
    <x v="1"/>
  </r>
  <r>
    <n v="3309"/>
    <s v="Raquel Novaes"/>
    <s v="Ultimate"/>
    <d v="2024-05-14T00:00:00"/>
    <s v="Yes"/>
    <n v="15"/>
    <x v="0"/>
    <x v="0"/>
    <n v="30"/>
    <x v="0"/>
    <n v="20"/>
    <n v="3"/>
    <x v="3"/>
  </r>
  <r>
    <n v="3310"/>
    <s v="Samantha Lopes"/>
    <s v="Standard"/>
    <d v="2024-05-15T00:00:00"/>
    <s v="No"/>
    <n v="10"/>
    <x v="1"/>
    <x v="1"/>
    <s v="-"/>
    <x v="0"/>
    <n v="20"/>
    <n v="15"/>
    <x v="7"/>
  </r>
  <r>
    <n v="3311"/>
    <s v="Tiago Martins"/>
    <s v="Core"/>
    <d v="2024-05-16T00:00:00"/>
    <s v="Yes"/>
    <n v="5"/>
    <x v="0"/>
    <x v="1"/>
    <s v="-"/>
    <x v="1"/>
    <n v="0"/>
    <n v="1"/>
    <x v="4"/>
  </r>
  <r>
    <n v="3312"/>
    <s v="Ulysses Guimarães"/>
    <s v="Ultimate"/>
    <d v="2024-05-17T00:00:00"/>
    <s v="No"/>
    <n v="15"/>
    <x v="2"/>
    <x v="0"/>
    <n v="30"/>
    <x v="0"/>
    <n v="20"/>
    <n v="7"/>
    <x v="12"/>
  </r>
  <r>
    <n v="3313"/>
    <s v="Vanessa Silva"/>
    <s v="Standard"/>
    <d v="2024-05-18T00:00:00"/>
    <s v="Yes"/>
    <n v="10"/>
    <x v="0"/>
    <x v="1"/>
    <s v="-"/>
    <x v="0"/>
    <n v="20"/>
    <n v="10"/>
    <x v="2"/>
  </r>
  <r>
    <n v="3314"/>
    <s v="William Carneiro"/>
    <s v="Core"/>
    <d v="2024-05-19T00:00:00"/>
    <s v="No"/>
    <n v="5"/>
    <x v="1"/>
    <x v="1"/>
    <s v="-"/>
    <x v="1"/>
    <n v="0"/>
    <n v="0"/>
    <x v="1"/>
  </r>
  <r>
    <n v="3315"/>
    <s v="Ximena Rocha"/>
    <s v="Ultimate"/>
    <d v="2024-05-20T00:00:00"/>
    <s v="Yes"/>
    <n v="15"/>
    <x v="0"/>
    <x v="0"/>
    <n v="30"/>
    <x v="0"/>
    <n v="20"/>
    <n v="20"/>
    <x v="8"/>
  </r>
  <r>
    <n v="3316"/>
    <s v="Yasmin Figueiredo"/>
    <s v="Standard"/>
    <d v="2024-05-21T00:00:00"/>
    <s v="No"/>
    <n v="10"/>
    <x v="2"/>
    <x v="1"/>
    <s v="-"/>
    <x v="0"/>
    <n v="20"/>
    <n v="15"/>
    <x v="7"/>
  </r>
  <r>
    <n v="3317"/>
    <s v="Zara Cunha"/>
    <s v="Core"/>
    <d v="2024-05-22T00:00:00"/>
    <s v="Yes"/>
    <n v="5"/>
    <x v="0"/>
    <x v="1"/>
    <s v="-"/>
    <x v="1"/>
    <n v="0"/>
    <n v="1"/>
    <x v="4"/>
  </r>
  <r>
    <n v="3318"/>
    <s v="Alan Teixeira"/>
    <s v="Ultimate"/>
    <d v="2024-05-23T00:00:00"/>
    <s v="No"/>
    <n v="15"/>
    <x v="1"/>
    <x v="0"/>
    <n v="30"/>
    <x v="0"/>
    <n v="20"/>
    <n v="3"/>
    <x v="3"/>
  </r>
  <r>
    <n v="3319"/>
    <s v="Bárbara Oliveira"/>
    <s v="Standard"/>
    <d v="2024-05-24T00:00:00"/>
    <s v="Yes"/>
    <n v="10"/>
    <x v="0"/>
    <x v="1"/>
    <s v="-"/>
    <x v="0"/>
    <n v="20"/>
    <n v="10"/>
    <x v="2"/>
  </r>
  <r>
    <n v="3320"/>
    <s v="Carlos Junqueira"/>
    <s v="Core"/>
    <d v="2024-05-25T00:00:00"/>
    <s v="No"/>
    <n v="5"/>
    <x v="2"/>
    <x v="1"/>
    <s v="-"/>
    <x v="1"/>
    <n v="0"/>
    <n v="0"/>
    <x v="1"/>
  </r>
  <r>
    <n v="3321"/>
    <s v="Daniela Moura"/>
    <s v="Ultimate"/>
    <d v="2024-05-26T00:00:00"/>
    <s v="Yes"/>
    <n v="15"/>
    <x v="0"/>
    <x v="0"/>
    <n v="30"/>
    <x v="0"/>
    <n v="20"/>
    <n v="5"/>
    <x v="0"/>
  </r>
  <r>
    <n v="3322"/>
    <s v="Eduardo Lima"/>
    <s v="Standard"/>
    <d v="2024-05-27T00:00:00"/>
    <s v="No"/>
    <n v="10"/>
    <x v="1"/>
    <x v="1"/>
    <s v="-"/>
    <x v="0"/>
    <n v="20"/>
    <n v="15"/>
    <x v="7"/>
  </r>
  <r>
    <n v="3323"/>
    <s v="Fabiana Araújo"/>
    <s v="Core"/>
    <d v="2024-05-28T00:00:00"/>
    <s v="Yes"/>
    <n v="5"/>
    <x v="0"/>
    <x v="1"/>
    <s v="-"/>
    <x v="1"/>
    <n v="0"/>
    <n v="1"/>
    <x v="4"/>
  </r>
  <r>
    <n v="3324"/>
    <s v="Geraldo Ribeiro"/>
    <s v="Ultimate"/>
    <d v="2024-05-29T00:00:00"/>
    <s v="No"/>
    <n v="15"/>
    <x v="2"/>
    <x v="0"/>
    <n v="30"/>
    <x v="0"/>
    <n v="20"/>
    <n v="20"/>
    <x v="8"/>
  </r>
  <r>
    <n v="3325"/>
    <s v="Héctor Vargas"/>
    <s v="Standard"/>
    <d v="2024-05-30T00:00:00"/>
    <s v="Yes"/>
    <n v="10"/>
    <x v="2"/>
    <x v="1"/>
    <s v="-"/>
    <x v="0"/>
    <n v="20"/>
    <n v="15"/>
    <x v="7"/>
  </r>
  <r>
    <n v="3326"/>
    <s v="Isabela Fonseca"/>
    <s v="Core"/>
    <d v="2024-05-31T00:00:00"/>
    <s v="No"/>
    <n v="5"/>
    <x v="1"/>
    <x v="1"/>
    <s v="-"/>
    <x v="1"/>
    <n v="0"/>
    <n v="0"/>
    <x v="1"/>
  </r>
  <r>
    <n v="3327"/>
    <s v="João Pedro Almeida"/>
    <s v="Ultimate"/>
    <d v="2024-06-01T00:00:00"/>
    <s v="Yes"/>
    <n v="15"/>
    <x v="0"/>
    <x v="0"/>
    <n v="30"/>
    <x v="0"/>
    <n v="20"/>
    <n v="7"/>
    <x v="12"/>
  </r>
  <r>
    <n v="3328"/>
    <s v="Klara Costa"/>
    <s v="Standard"/>
    <d v="2024-06-02T00:00:00"/>
    <s v="No"/>
    <n v="10"/>
    <x v="1"/>
    <x v="1"/>
    <s v="-"/>
    <x v="0"/>
    <n v="20"/>
    <n v="10"/>
    <x v="2"/>
  </r>
  <r>
    <n v="3329"/>
    <s v="Luciana Mendes"/>
    <s v="Core"/>
    <d v="2024-06-03T00:00:00"/>
    <s v="Yes"/>
    <n v="5"/>
    <x v="2"/>
    <x v="1"/>
    <s v="-"/>
    <x v="1"/>
    <n v="0"/>
    <n v="1"/>
    <x v="4"/>
  </r>
  <r>
    <n v="3330"/>
    <s v="Marcelo Gouveia"/>
    <s v="Ultimate"/>
    <d v="2024-06-04T00:00:00"/>
    <s v="No"/>
    <n v="15"/>
    <x v="0"/>
    <x v="0"/>
    <n v="30"/>
    <x v="0"/>
    <n v="20"/>
    <n v="15"/>
    <x v="14"/>
  </r>
  <r>
    <n v="3331"/>
    <s v="Nívea Borges"/>
    <s v="Standard"/>
    <d v="2024-06-05T00:00:00"/>
    <s v="Yes"/>
    <n v="10"/>
    <x v="0"/>
    <x v="1"/>
    <s v="-"/>
    <x v="0"/>
    <n v="20"/>
    <n v="5"/>
    <x v="13"/>
  </r>
  <r>
    <n v="3332"/>
    <s v="Oscar Nogueira"/>
    <s v="Core"/>
    <d v="2024-06-06T00:00:00"/>
    <s v="No"/>
    <n v="5"/>
    <x v="1"/>
    <x v="1"/>
    <s v="-"/>
    <x v="1"/>
    <n v="0"/>
    <n v="0"/>
    <x v="1"/>
  </r>
  <r>
    <n v="3333"/>
    <s v="Patrícia Alves"/>
    <s v="Ultimate"/>
    <d v="2024-06-07T00:00:00"/>
    <s v="Yes"/>
    <n v="15"/>
    <x v="2"/>
    <x v="0"/>
    <n v="30"/>
    <x v="0"/>
    <n v="20"/>
    <n v="20"/>
    <x v="8"/>
  </r>
  <r>
    <n v="3334"/>
    <s v="Rafaela Silva"/>
    <s v="Standard"/>
    <d v="2024-06-08T00:00:00"/>
    <s v="No"/>
    <n v="10"/>
    <x v="2"/>
    <x v="1"/>
    <s v="-"/>
    <x v="0"/>
    <n v="20"/>
    <n v="12"/>
    <x v="10"/>
  </r>
  <r>
    <n v="3335"/>
    <s v="Samantha Moraes"/>
    <s v="Core"/>
    <d v="2024-06-09T00:00:00"/>
    <s v="Yes"/>
    <n v="5"/>
    <x v="0"/>
    <x v="1"/>
    <s v="-"/>
    <x v="1"/>
    <n v="0"/>
    <n v="2"/>
    <x v="11"/>
  </r>
  <r>
    <n v="3336"/>
    <s v="Tatiana Rocha"/>
    <s v="Core"/>
    <d v="2024-06-10T00:00:00"/>
    <s v="Yes"/>
    <n v="5"/>
    <x v="0"/>
    <x v="1"/>
    <s v="-"/>
    <x v="1"/>
    <n v="0"/>
    <n v="0"/>
    <x v="1"/>
  </r>
  <r>
    <n v="3337"/>
    <s v="Ulisses Tavares"/>
    <s v="Ultimate"/>
    <d v="2024-06-11T00:00:00"/>
    <s v="No"/>
    <n v="15"/>
    <x v="2"/>
    <x v="0"/>
    <n v="30"/>
    <x v="0"/>
    <n v="20"/>
    <n v="7"/>
    <x v="12"/>
  </r>
  <r>
    <n v="3338"/>
    <s v="Víctor Lemos"/>
    <s v="Standard"/>
    <d v="2024-06-12T00:00:00"/>
    <s v="Yes"/>
    <n v="10"/>
    <x v="1"/>
    <x v="1"/>
    <s v="-"/>
    <x v="0"/>
    <n v="20"/>
    <n v="10"/>
    <x v="2"/>
  </r>
  <r>
    <n v="3339"/>
    <s v="Wilma Barros"/>
    <s v="Core"/>
    <d v="2024-06-13T00:00:00"/>
    <s v="No"/>
    <n v="5"/>
    <x v="2"/>
    <x v="1"/>
    <s v="-"/>
    <x v="1"/>
    <n v="0"/>
    <n v="1"/>
    <x v="4"/>
  </r>
  <r>
    <n v="3340"/>
    <s v="Xavier Nascimento"/>
    <s v="Ultimate"/>
    <d v="2024-06-14T00:00:00"/>
    <s v="Yes"/>
    <n v="15"/>
    <x v="0"/>
    <x v="0"/>
    <n v="30"/>
    <x v="0"/>
    <n v="20"/>
    <n v="15"/>
    <x v="14"/>
  </r>
  <r>
    <n v="3341"/>
    <s v="Yago Pereira"/>
    <s v="Standard"/>
    <d v="2024-06-15T00:00:00"/>
    <s v="No"/>
    <n v="10"/>
    <x v="0"/>
    <x v="1"/>
    <s v="-"/>
    <x v="0"/>
    <n v="20"/>
    <n v="5"/>
    <x v="13"/>
  </r>
  <r>
    <n v="3342"/>
    <s v="Zilda Ferreira"/>
    <s v="Core"/>
    <d v="2024-06-16T00:00:00"/>
    <s v="Yes"/>
    <n v="5"/>
    <x v="1"/>
    <x v="1"/>
    <s v="-"/>
    <x v="1"/>
    <n v="0"/>
    <n v="0"/>
    <x v="1"/>
  </r>
  <r>
    <n v="3343"/>
    <s v="Amanda Lopes"/>
    <s v="Ultimate"/>
    <d v="2024-06-17T00:00:00"/>
    <s v="No"/>
    <n v="15"/>
    <x v="2"/>
    <x v="0"/>
    <n v="30"/>
    <x v="0"/>
    <n v="20"/>
    <n v="20"/>
    <x v="8"/>
  </r>
  <r>
    <n v="3344"/>
    <s v="Bruno Miranda"/>
    <s v="Standard"/>
    <d v="2024-06-18T00:00:00"/>
    <s v="Yes"/>
    <n v="10"/>
    <x v="2"/>
    <x v="1"/>
    <s v="-"/>
    <x v="0"/>
    <n v="20"/>
    <n v="12"/>
    <x v="10"/>
  </r>
  <r>
    <n v="3345"/>
    <s v="Célia Torres"/>
    <s v="Core"/>
    <d v="2024-06-19T00:00:00"/>
    <s v="No"/>
    <n v="5"/>
    <x v="0"/>
    <x v="1"/>
    <s v="-"/>
    <x v="1"/>
    <n v="0"/>
    <n v="2"/>
    <x v="11"/>
  </r>
  <r>
    <n v="3346"/>
    <s v="Diogo Souza"/>
    <s v="Ultimate"/>
    <d v="2024-06-20T00:00:00"/>
    <s v="Yes"/>
    <n v="15"/>
    <x v="1"/>
    <x v="0"/>
    <n v="30"/>
    <x v="0"/>
    <n v="20"/>
    <n v="5"/>
    <x v="0"/>
  </r>
  <r>
    <n v="3347"/>
    <s v="Elisa Castro"/>
    <s v="Standard"/>
    <d v="2024-06-21T00:00:00"/>
    <s v="No"/>
    <n v="10"/>
    <x v="0"/>
    <x v="1"/>
    <s v="-"/>
    <x v="0"/>
    <n v="20"/>
    <n v="10"/>
    <x v="2"/>
  </r>
  <r>
    <n v="3348"/>
    <s v="Fátima Lima"/>
    <s v="Core"/>
    <d v="2024-06-22T00:00:00"/>
    <s v="Yes"/>
    <n v="5"/>
    <x v="2"/>
    <x v="1"/>
    <s v="-"/>
    <x v="1"/>
    <n v="0"/>
    <n v="0"/>
    <x v="1"/>
  </r>
  <r>
    <n v="3349"/>
    <s v="Geraldo Ribeiro"/>
    <s v="Ultimate"/>
    <d v="2024-06-23T00:00:00"/>
    <s v="No"/>
    <n v="15"/>
    <x v="0"/>
    <x v="0"/>
    <n v="30"/>
    <x v="0"/>
    <n v="20"/>
    <n v="3"/>
    <x v="3"/>
  </r>
  <r>
    <n v="3350"/>
    <s v="Hélio Martins"/>
    <s v="Standard"/>
    <d v="2024-06-24T00:00:00"/>
    <s v="Yes"/>
    <n v="10"/>
    <x v="1"/>
    <x v="1"/>
    <s v="-"/>
    <x v="0"/>
    <n v="20"/>
    <n v="15"/>
    <x v="7"/>
  </r>
  <r>
    <n v="3351"/>
    <s v="Íris Santos"/>
    <s v="Core"/>
    <d v="2024-06-25T00:00:00"/>
    <s v="No"/>
    <n v="5"/>
    <x v="0"/>
    <x v="1"/>
    <s v="-"/>
    <x v="1"/>
    <n v="0"/>
    <n v="1"/>
    <x v="4"/>
  </r>
  <r>
    <n v="3352"/>
    <s v="João Marcelo"/>
    <s v="Ultimate"/>
    <d v="2024-06-26T00:00:00"/>
    <s v="Yes"/>
    <n v="15"/>
    <x v="2"/>
    <x v="0"/>
    <n v="30"/>
    <x v="0"/>
    <n v="20"/>
    <n v="7"/>
    <x v="12"/>
  </r>
  <r>
    <n v="3353"/>
    <s v="Larissa Gomes"/>
    <s v="Standard"/>
    <d v="2024-06-27T00:00:00"/>
    <s v="No"/>
    <n v="10"/>
    <x v="0"/>
    <x v="1"/>
    <s v="-"/>
    <x v="0"/>
    <n v="20"/>
    <n v="10"/>
    <x v="2"/>
  </r>
  <r>
    <n v="3354"/>
    <s v="Márcio Silva"/>
    <s v="Core"/>
    <d v="2024-06-28T00:00:00"/>
    <s v="Yes"/>
    <n v="5"/>
    <x v="1"/>
    <x v="1"/>
    <s v="-"/>
    <x v="1"/>
    <n v="0"/>
    <n v="0"/>
    <x v="1"/>
  </r>
  <r>
    <n v="3355"/>
    <s v="Nadia Costa"/>
    <s v="Ultimate"/>
    <d v="2024-06-29T00:00:00"/>
    <s v="No"/>
    <n v="15"/>
    <x v="0"/>
    <x v="0"/>
    <n v="30"/>
    <x v="0"/>
    <n v="20"/>
    <n v="20"/>
    <x v="8"/>
  </r>
  <r>
    <n v="3356"/>
    <s v="Oscar Almeida"/>
    <s v="Standard"/>
    <d v="2024-06-30T00:00:00"/>
    <s v="Yes"/>
    <n v="10"/>
    <x v="2"/>
    <x v="1"/>
    <s v="-"/>
    <x v="0"/>
    <n v="20"/>
    <n v="15"/>
    <x v="7"/>
  </r>
  <r>
    <n v="3357"/>
    <s v="Patricia Soares"/>
    <s v="Core"/>
    <d v="2024-07-01T00:00:00"/>
    <s v="No"/>
    <n v="5"/>
    <x v="0"/>
    <x v="1"/>
    <s v="-"/>
    <x v="1"/>
    <n v="0"/>
    <n v="1"/>
    <x v="4"/>
  </r>
  <r>
    <n v="3358"/>
    <s v="Quênia Barros"/>
    <s v="Ultimate"/>
    <d v="2024-07-02T00:00:00"/>
    <s v="Yes"/>
    <n v="15"/>
    <x v="1"/>
    <x v="0"/>
    <n v="30"/>
    <x v="0"/>
    <n v="20"/>
    <n v="3"/>
    <x v="3"/>
  </r>
  <r>
    <n v="3359"/>
    <s v="Rafael Torres"/>
    <s v="Standard"/>
    <d v="2024-07-03T00:00:00"/>
    <s v="No"/>
    <n v="10"/>
    <x v="0"/>
    <x v="1"/>
    <s v="-"/>
    <x v="0"/>
    <n v="20"/>
    <n v="10"/>
    <x v="2"/>
  </r>
  <r>
    <n v="3360"/>
    <s v="Silvia Nascimento"/>
    <s v="Core"/>
    <d v="2024-07-04T00:00:00"/>
    <s v="Yes"/>
    <n v="5"/>
    <x v="2"/>
    <x v="1"/>
    <s v="-"/>
    <x v="1"/>
    <n v="0"/>
    <n v="0"/>
    <x v="1"/>
  </r>
  <r>
    <n v="3361"/>
    <s v="Tiago Mendes"/>
    <s v="Ultimate"/>
    <d v="2024-07-05T00:00:00"/>
    <s v="No"/>
    <n v="15"/>
    <x v="0"/>
    <x v="0"/>
    <n v="30"/>
    <x v="0"/>
    <n v="20"/>
    <n v="15"/>
    <x v="14"/>
  </r>
  <r>
    <n v="3362"/>
    <s v="Ursula Silva"/>
    <s v="Standard"/>
    <d v="2024-07-06T00:00:00"/>
    <s v="Yes"/>
    <n v="10"/>
    <x v="1"/>
    <x v="1"/>
    <s v="-"/>
    <x v="0"/>
    <n v="20"/>
    <n v="15"/>
    <x v="7"/>
  </r>
  <r>
    <n v="3363"/>
    <s v="Vanessa Moraes"/>
    <s v="Core"/>
    <d v="2024-07-07T00:00:00"/>
    <s v="No"/>
    <n v="5"/>
    <x v="0"/>
    <x v="1"/>
    <s v="-"/>
    <x v="1"/>
    <n v="0"/>
    <n v="1"/>
    <x v="4"/>
  </r>
  <r>
    <n v="3364"/>
    <s v="Waldir Junior"/>
    <s v="Ultimate"/>
    <d v="2024-07-08T00:00:00"/>
    <s v="Yes"/>
    <n v="15"/>
    <x v="2"/>
    <x v="0"/>
    <n v="30"/>
    <x v="0"/>
    <n v="20"/>
    <n v="7"/>
    <x v="12"/>
  </r>
  <r>
    <n v="3365"/>
    <s v="Xavier Lopes"/>
    <s v="Standard"/>
    <d v="2024-07-09T00:00:00"/>
    <s v="No"/>
    <n v="10"/>
    <x v="0"/>
    <x v="1"/>
    <s v="-"/>
    <x v="0"/>
    <n v="20"/>
    <n v="10"/>
    <x v="2"/>
  </r>
  <r>
    <n v="3366"/>
    <s v="Yolanda Freitas"/>
    <s v="Core"/>
    <d v="2024-07-10T00:00:00"/>
    <s v="Yes"/>
    <n v="5"/>
    <x v="0"/>
    <x v="1"/>
    <s v="-"/>
    <x v="1"/>
    <n v="0"/>
    <n v="0"/>
    <x v="1"/>
  </r>
  <r>
    <n v="3367"/>
    <s v="Zacarias Nunes"/>
    <s v="Ultimate"/>
    <d v="2024-07-11T00:00:00"/>
    <s v="No"/>
    <n v="15"/>
    <x v="2"/>
    <x v="0"/>
    <n v="30"/>
    <x v="0"/>
    <n v="20"/>
    <n v="7"/>
    <x v="12"/>
  </r>
  <r>
    <n v="3368"/>
    <s v="Ana Clara Barreto"/>
    <s v="Standard"/>
    <d v="2024-07-12T00:00:00"/>
    <s v="Yes"/>
    <n v="10"/>
    <x v="1"/>
    <x v="1"/>
    <s v="-"/>
    <x v="0"/>
    <n v="20"/>
    <n v="10"/>
    <x v="2"/>
  </r>
  <r>
    <n v="3369"/>
    <s v="Bruno Henrique"/>
    <s v="Core"/>
    <d v="2024-07-13T00:00:00"/>
    <s v="No"/>
    <n v="5"/>
    <x v="2"/>
    <x v="1"/>
    <s v="-"/>
    <x v="1"/>
    <n v="0"/>
    <n v="1"/>
    <x v="4"/>
  </r>
  <r>
    <n v="3370"/>
    <s v="Carlos Eduardo"/>
    <s v="Ultimate"/>
    <d v="2024-07-14T00:00:00"/>
    <s v="Yes"/>
    <n v="15"/>
    <x v="0"/>
    <x v="0"/>
    <n v="30"/>
    <x v="0"/>
    <n v="20"/>
    <n v="15"/>
    <x v="14"/>
  </r>
  <r>
    <n v="3371"/>
    <s v="Débora Lima"/>
    <s v="Standard"/>
    <d v="2024-07-15T00:00:00"/>
    <s v="No"/>
    <n v="10"/>
    <x v="0"/>
    <x v="1"/>
    <s v="-"/>
    <x v="0"/>
    <n v="20"/>
    <n v="5"/>
    <x v="13"/>
  </r>
  <r>
    <n v="3372"/>
    <s v="Elisa Neves"/>
    <s v="Core"/>
    <d v="2024-07-16T00:00:00"/>
    <s v="Yes"/>
    <n v="5"/>
    <x v="1"/>
    <x v="1"/>
    <s v="-"/>
    <x v="1"/>
    <n v="0"/>
    <n v="0"/>
    <x v="1"/>
  </r>
  <r>
    <n v="3373"/>
    <s v="Fabiano Gomes"/>
    <s v="Ultimate"/>
    <d v="2024-07-17T00:00:00"/>
    <s v="No"/>
    <n v="15"/>
    <x v="2"/>
    <x v="0"/>
    <n v="30"/>
    <x v="0"/>
    <n v="20"/>
    <n v="20"/>
    <x v="8"/>
  </r>
  <r>
    <n v="3374"/>
    <s v="Gisele Oliveira"/>
    <s v="Standard"/>
    <d v="2024-07-18T00:00:00"/>
    <s v="Yes"/>
    <n v="10"/>
    <x v="2"/>
    <x v="1"/>
    <s v="-"/>
    <x v="0"/>
    <n v="20"/>
    <n v="12"/>
    <x v="10"/>
  </r>
  <r>
    <n v="3375"/>
    <s v="Héctor Silva"/>
    <s v="Core"/>
    <d v="2024-07-19T00:00:00"/>
    <s v="No"/>
    <n v="5"/>
    <x v="0"/>
    <x v="1"/>
    <s v="-"/>
    <x v="1"/>
    <n v="0"/>
    <n v="2"/>
    <x v="11"/>
  </r>
  <r>
    <n v="3376"/>
    <s v="Igor Martins"/>
    <s v="Ultimate"/>
    <d v="2024-07-20T00:00:00"/>
    <s v="Yes"/>
    <n v="15"/>
    <x v="1"/>
    <x v="0"/>
    <n v="30"/>
    <x v="0"/>
    <n v="20"/>
    <n v="5"/>
    <x v="0"/>
  </r>
  <r>
    <n v="3377"/>
    <s v="Joana Figueiredo"/>
    <s v="Standard"/>
    <d v="2024-07-21T00:00:00"/>
    <s v="No"/>
    <n v="10"/>
    <x v="0"/>
    <x v="1"/>
    <s v="-"/>
    <x v="0"/>
    <n v="20"/>
    <n v="10"/>
    <x v="2"/>
  </r>
  <r>
    <n v="3378"/>
    <s v="Kleber Machado"/>
    <s v="Core"/>
    <d v="2024-07-22T00:00:00"/>
    <s v="Yes"/>
    <n v="5"/>
    <x v="2"/>
    <x v="1"/>
    <s v="-"/>
    <x v="1"/>
    <n v="0"/>
    <n v="0"/>
    <x v="1"/>
  </r>
  <r>
    <n v="3379"/>
    <s v="Luciana Santos"/>
    <s v="Ultimate"/>
    <d v="2024-07-23T00:00:00"/>
    <s v="No"/>
    <n v="15"/>
    <x v="0"/>
    <x v="0"/>
    <n v="30"/>
    <x v="0"/>
    <n v="20"/>
    <n v="3"/>
    <x v="3"/>
  </r>
  <r>
    <n v="3380"/>
    <s v="Marcos Teixeira"/>
    <s v="Standard"/>
    <d v="2024-07-24T00:00:00"/>
    <s v="Yes"/>
    <n v="10"/>
    <x v="1"/>
    <x v="1"/>
    <s v="-"/>
    <x v="0"/>
    <n v="20"/>
    <n v="15"/>
    <x v="7"/>
  </r>
  <r>
    <n v="3381"/>
    <s v="Natalia Costa"/>
    <s v="Core"/>
    <d v="2024-07-25T00:00:00"/>
    <s v="No"/>
    <n v="5"/>
    <x v="0"/>
    <x v="1"/>
    <s v="-"/>
    <x v="1"/>
    <n v="0"/>
    <n v="1"/>
    <x v="4"/>
  </r>
  <r>
    <n v="3382"/>
    <s v="Oscar Ribeiro"/>
    <s v="Ultimate"/>
    <d v="2024-07-26T00:00:00"/>
    <s v="Yes"/>
    <n v="15"/>
    <x v="2"/>
    <x v="0"/>
    <n v="30"/>
    <x v="0"/>
    <n v="20"/>
    <n v="7"/>
    <x v="12"/>
  </r>
  <r>
    <n v="3383"/>
    <s v="Patricia Almeida"/>
    <s v="Standard"/>
    <d v="2024-07-27T00:00:00"/>
    <s v="No"/>
    <n v="10"/>
    <x v="0"/>
    <x v="1"/>
    <s v="-"/>
    <x v="0"/>
    <n v="20"/>
    <n v="10"/>
    <x v="2"/>
  </r>
  <r>
    <n v="3384"/>
    <s v="Quirino Junior"/>
    <s v="Core"/>
    <d v="2024-07-28T00:00:00"/>
    <s v="Yes"/>
    <n v="5"/>
    <x v="1"/>
    <x v="1"/>
    <s v="-"/>
    <x v="1"/>
    <n v="0"/>
    <n v="0"/>
    <x v="1"/>
  </r>
  <r>
    <n v="3385"/>
    <s v="Renata Machado"/>
    <s v="Ultimate"/>
    <d v="2024-07-29T00:00:00"/>
    <s v="No"/>
    <n v="15"/>
    <x v="0"/>
    <x v="0"/>
    <n v="30"/>
    <x v="0"/>
    <n v="20"/>
    <n v="20"/>
    <x v="8"/>
  </r>
  <r>
    <n v="3386"/>
    <s v="Sônia Alves"/>
    <s v="Standard"/>
    <d v="2024-07-30T00:00:00"/>
    <s v="Yes"/>
    <n v="10"/>
    <x v="2"/>
    <x v="1"/>
    <s v="-"/>
    <x v="0"/>
    <n v="20"/>
    <n v="15"/>
    <x v="7"/>
  </r>
  <r>
    <n v="3387"/>
    <s v="Tiago Nunes"/>
    <s v="Core"/>
    <d v="2024-07-31T00:00:00"/>
    <s v="No"/>
    <n v="5"/>
    <x v="0"/>
    <x v="1"/>
    <s v="-"/>
    <x v="1"/>
    <n v="0"/>
    <n v="1"/>
    <x v="4"/>
  </r>
  <r>
    <n v="3388"/>
    <s v="Ulysses Pereira"/>
    <s v="Ultimate"/>
    <d v="2024-08-01T00:00:00"/>
    <s v="Yes"/>
    <n v="15"/>
    <x v="1"/>
    <x v="0"/>
    <n v="30"/>
    <x v="0"/>
    <n v="20"/>
    <n v="3"/>
    <x v="3"/>
  </r>
  <r>
    <n v="3389"/>
    <s v="Vanessa Lima"/>
    <s v="Standard"/>
    <d v="2024-08-02T00:00:00"/>
    <s v="No"/>
    <n v="10"/>
    <x v="0"/>
    <x v="1"/>
    <s v="-"/>
    <x v="0"/>
    <n v="20"/>
    <n v="10"/>
    <x v="2"/>
  </r>
  <r>
    <n v="3390"/>
    <s v="Wagner Santos"/>
    <s v="Core"/>
    <d v="2024-08-03T00:00:00"/>
    <s v="Yes"/>
    <n v="5"/>
    <x v="2"/>
    <x v="1"/>
    <s v="-"/>
    <x v="1"/>
    <n v="0"/>
    <n v="0"/>
    <x v="1"/>
  </r>
  <r>
    <n v="3391"/>
    <s v="Xuxa Meneghel"/>
    <s v="Ultimate"/>
    <d v="2024-08-04T00:00:00"/>
    <s v="No"/>
    <n v="15"/>
    <x v="0"/>
    <x v="0"/>
    <n v="30"/>
    <x v="0"/>
    <n v="20"/>
    <n v="15"/>
    <x v="14"/>
  </r>
  <r>
    <n v="3392"/>
    <s v="Yasmin Silva"/>
    <s v="Standard"/>
    <d v="2024-08-05T00:00:00"/>
    <s v="Yes"/>
    <n v="10"/>
    <x v="1"/>
    <x v="1"/>
    <s v="-"/>
    <x v="0"/>
    <n v="20"/>
    <n v="15"/>
    <x v="7"/>
  </r>
  <r>
    <n v="3393"/>
    <s v="Zacarias de Souza"/>
    <s v="Core"/>
    <d v="2024-08-06T00:00:00"/>
    <s v="No"/>
    <n v="5"/>
    <x v="0"/>
    <x v="1"/>
    <s v="-"/>
    <x v="1"/>
    <n v="0"/>
    <n v="1"/>
    <x v="4"/>
  </r>
  <r>
    <n v="3394"/>
    <s v="André Lima"/>
    <s v="Ultimate"/>
    <d v="2024-08-07T00:00:00"/>
    <s v="Yes"/>
    <n v="15"/>
    <x v="2"/>
    <x v="0"/>
    <n v="30"/>
    <x v="0"/>
    <n v="20"/>
    <n v="7"/>
    <x v="12"/>
  </r>
  <r>
    <n v="3395"/>
    <s v="Bianca Freitas"/>
    <s v="Standard"/>
    <d v="2024-08-08T00:00:00"/>
    <s v="No"/>
    <n v="10"/>
    <x v="0"/>
    <x v="1"/>
    <s v="-"/>
    <x v="0"/>
    <n v="20"/>
    <n v="10"/>
    <x v="2"/>
  </r>
  <r>
    <n v="3396"/>
    <s v="Caio Mendes"/>
    <s v="Core"/>
    <d v="2024-08-09T00:00:00"/>
    <s v="Yes"/>
    <n v="5"/>
    <x v="1"/>
    <x v="1"/>
    <s v="-"/>
    <x v="1"/>
    <n v="0"/>
    <n v="0"/>
    <x v="1"/>
  </r>
  <r>
    <n v="3397"/>
    <s v="Daniela Moura"/>
    <s v="Ultimate"/>
    <d v="2024-08-10T00:00:00"/>
    <s v="No"/>
    <n v="15"/>
    <x v="0"/>
    <x v="0"/>
    <n v="30"/>
    <x v="0"/>
    <n v="20"/>
    <n v="20"/>
    <x v="8"/>
  </r>
  <r>
    <n v="3398"/>
    <s v="Eduardo Costa"/>
    <s v="Standard"/>
    <d v="2024-08-11T00:00:00"/>
    <s v="Yes"/>
    <n v="10"/>
    <x v="2"/>
    <x v="1"/>
    <s v="-"/>
    <x v="0"/>
    <n v="20"/>
    <n v="15"/>
    <x v="7"/>
  </r>
  <r>
    <n v="3399"/>
    <s v="Fernanda Gomes"/>
    <s v="Core"/>
    <d v="2024-08-12T00:00:00"/>
    <s v="No"/>
    <n v="5"/>
    <x v="0"/>
    <x v="1"/>
    <s v="-"/>
    <x v="1"/>
    <n v="0"/>
    <n v="1"/>
    <x v="4"/>
  </r>
  <r>
    <n v="3400"/>
    <s v="Guilherme Souza"/>
    <s v="Ultimate"/>
    <d v="2024-08-13T00:00:00"/>
    <s v="Yes"/>
    <n v="15"/>
    <x v="1"/>
    <x v="0"/>
    <n v="30"/>
    <x v="0"/>
    <n v="20"/>
    <n v="5"/>
    <x v="0"/>
  </r>
  <r>
    <n v="3401"/>
    <s v="Helena Ribeiro"/>
    <s v="Standard"/>
    <d v="2024-08-14T00:00:00"/>
    <s v="No"/>
    <n v="10"/>
    <x v="0"/>
    <x v="1"/>
    <s v="-"/>
    <x v="0"/>
    <n v="20"/>
    <n v="10"/>
    <x v="2"/>
  </r>
  <r>
    <n v="3402"/>
    <s v="Igor Santos"/>
    <s v="Core"/>
    <d v="2024-08-15T00:00:00"/>
    <s v="Yes"/>
    <n v="5"/>
    <x v="2"/>
    <x v="1"/>
    <s v="-"/>
    <x v="1"/>
    <n v="0"/>
    <n v="0"/>
    <x v="1"/>
  </r>
  <r>
    <n v="3403"/>
    <s v="João Carvalho"/>
    <s v="Ultimate"/>
    <d v="2024-08-16T00:00:00"/>
    <s v="No"/>
    <n v="15"/>
    <x v="0"/>
    <x v="0"/>
    <n v="30"/>
    <x v="0"/>
    <n v="20"/>
    <n v="3"/>
    <x v="3"/>
  </r>
  <r>
    <n v="3404"/>
    <s v="Klara Fagundes"/>
    <s v="Standard"/>
    <d v="2024-08-17T00:00:00"/>
    <s v="Yes"/>
    <n v="10"/>
    <x v="1"/>
    <x v="1"/>
    <s v="-"/>
    <x v="0"/>
    <n v="20"/>
    <n v="15"/>
    <x v="7"/>
  </r>
  <r>
    <n v="3405"/>
    <s v="Lúcia Mendonça"/>
    <s v="Core"/>
    <d v="2024-08-18T00:00:00"/>
    <s v="No"/>
    <n v="5"/>
    <x v="0"/>
    <x v="1"/>
    <s v="-"/>
    <x v="1"/>
    <n v="0"/>
    <n v="1"/>
    <x v="4"/>
  </r>
  <r>
    <n v="3406"/>
    <s v="Marcelo Novaes"/>
    <s v="Core"/>
    <d v="2024-08-19T00:00:00"/>
    <s v="Yes"/>
    <n v="5"/>
    <x v="0"/>
    <x v="1"/>
    <s v="-"/>
    <x v="1"/>
    <n v="0"/>
    <n v="0"/>
    <x v="1"/>
  </r>
  <r>
    <n v="3407"/>
    <s v="Nina Pacheco"/>
    <s v="Ultimate"/>
    <d v="2024-08-20T00:00:00"/>
    <s v="No"/>
    <n v="15"/>
    <x v="2"/>
    <x v="0"/>
    <n v="30"/>
    <x v="0"/>
    <n v="20"/>
    <n v="7"/>
    <x v="12"/>
  </r>
  <r>
    <n v="3408"/>
    <s v="Olívia Rios"/>
    <s v="Standard"/>
    <d v="2024-08-21T00:00:00"/>
    <s v="Yes"/>
    <n v="10"/>
    <x v="1"/>
    <x v="1"/>
    <s v="-"/>
    <x v="0"/>
    <n v="20"/>
    <n v="10"/>
    <x v="2"/>
  </r>
  <r>
    <n v="3409"/>
    <s v="Paulo Quintana"/>
    <s v="Core"/>
    <d v="2024-08-22T00:00:00"/>
    <s v="No"/>
    <n v="5"/>
    <x v="2"/>
    <x v="1"/>
    <s v="-"/>
    <x v="1"/>
    <n v="0"/>
    <n v="1"/>
    <x v="4"/>
  </r>
  <r>
    <n v="3410"/>
    <s v="Raquel Domingos"/>
    <s v="Ultimate"/>
    <d v="2024-08-23T00:00:00"/>
    <s v="Yes"/>
    <n v="15"/>
    <x v="0"/>
    <x v="0"/>
    <n v="30"/>
    <x v="0"/>
    <n v="20"/>
    <n v="15"/>
    <x v="14"/>
  </r>
  <r>
    <n v="3411"/>
    <s v="Samuel Viana"/>
    <s v="Standard"/>
    <d v="2024-08-24T00:00:00"/>
    <s v="No"/>
    <n v="10"/>
    <x v="0"/>
    <x v="1"/>
    <s v="-"/>
    <x v="0"/>
    <n v="20"/>
    <n v="5"/>
    <x v="13"/>
  </r>
  <r>
    <n v="3412"/>
    <s v="Tatiane Rocha"/>
    <s v="Core"/>
    <d v="2024-08-25T00:00:00"/>
    <s v="Yes"/>
    <n v="5"/>
    <x v="1"/>
    <x v="1"/>
    <s v="-"/>
    <x v="1"/>
    <n v="0"/>
    <n v="0"/>
    <x v="1"/>
  </r>
  <r>
    <n v="3413"/>
    <s v="Ulysses Farias"/>
    <s v="Ultimate"/>
    <d v="2024-08-26T00:00:00"/>
    <s v="No"/>
    <n v="15"/>
    <x v="2"/>
    <x v="0"/>
    <n v="30"/>
    <x v="0"/>
    <n v="20"/>
    <n v="20"/>
    <x v="8"/>
  </r>
  <r>
    <n v="3414"/>
    <s v="Vanessa Moreira"/>
    <s v="Standard"/>
    <d v="2024-08-27T00:00:00"/>
    <s v="Yes"/>
    <n v="10"/>
    <x v="2"/>
    <x v="1"/>
    <s v="-"/>
    <x v="0"/>
    <n v="20"/>
    <n v="12"/>
    <x v="10"/>
  </r>
  <r>
    <n v="3415"/>
    <s v="William Carvalho"/>
    <s v="Core"/>
    <d v="2024-08-28T00:00:00"/>
    <s v="No"/>
    <n v="5"/>
    <x v="0"/>
    <x v="1"/>
    <s v="-"/>
    <x v="1"/>
    <n v="0"/>
    <n v="2"/>
    <x v="11"/>
  </r>
  <r>
    <n v="3416"/>
    <s v="Ximena Barros"/>
    <s v="Ultimate"/>
    <d v="2024-08-29T00:00:00"/>
    <s v="Yes"/>
    <n v="15"/>
    <x v="1"/>
    <x v="0"/>
    <n v="30"/>
    <x v="0"/>
    <n v="20"/>
    <n v="5"/>
    <x v="0"/>
  </r>
  <r>
    <n v="3417"/>
    <s v="Yara Machado"/>
    <s v="Standard"/>
    <d v="2024-08-30T00:00:00"/>
    <s v="No"/>
    <n v="10"/>
    <x v="0"/>
    <x v="1"/>
    <s v="-"/>
    <x v="0"/>
    <n v="20"/>
    <n v="10"/>
    <x v="2"/>
  </r>
  <r>
    <n v="3418"/>
    <s v="Zacarias Costa"/>
    <s v="Core"/>
    <d v="2024-08-31T00:00:00"/>
    <s v="Yes"/>
    <n v="5"/>
    <x v="2"/>
    <x v="1"/>
    <s v="-"/>
    <x v="1"/>
    <n v="0"/>
    <n v="0"/>
    <x v="1"/>
  </r>
  <r>
    <n v="3419"/>
    <s v="André Lopes"/>
    <s v="Ultimate"/>
    <d v="2024-09-01T00:00:00"/>
    <s v="No"/>
    <n v="15"/>
    <x v="0"/>
    <x v="0"/>
    <n v="30"/>
    <x v="0"/>
    <n v="20"/>
    <n v="3"/>
    <x v="3"/>
  </r>
  <r>
    <n v="3420"/>
    <s v="Beatriz Souza"/>
    <s v="Standard"/>
    <d v="2024-09-02T00:00:00"/>
    <s v="Yes"/>
    <n v="10"/>
    <x v="1"/>
    <x v="1"/>
    <s v="-"/>
    <x v="0"/>
    <n v="20"/>
    <n v="15"/>
    <x v="7"/>
  </r>
  <r>
    <n v="3421"/>
    <s v="Caio Pereira"/>
    <s v="Core"/>
    <d v="2024-09-03T00:00:00"/>
    <s v="No"/>
    <n v="5"/>
    <x v="0"/>
    <x v="1"/>
    <s v="-"/>
    <x v="1"/>
    <n v="0"/>
    <n v="1"/>
    <x v="4"/>
  </r>
  <r>
    <n v="3422"/>
    <s v="Daniela Araújo"/>
    <s v="Ultimate"/>
    <d v="2024-09-04T00:00:00"/>
    <s v="Yes"/>
    <n v="15"/>
    <x v="2"/>
    <x v="0"/>
    <n v="30"/>
    <x v="0"/>
    <n v="20"/>
    <n v="7"/>
    <x v="12"/>
  </r>
  <r>
    <n v="3423"/>
    <s v="Eduardo Santos"/>
    <s v="Standard"/>
    <d v="2024-09-05T00:00:00"/>
    <s v="No"/>
    <n v="10"/>
    <x v="0"/>
    <x v="1"/>
    <s v="-"/>
    <x v="0"/>
    <n v="20"/>
    <n v="10"/>
    <x v="2"/>
  </r>
  <r>
    <n v="3424"/>
    <s v="Fernanda Lima"/>
    <s v="Core"/>
    <d v="2024-09-06T00:00:00"/>
    <s v="Yes"/>
    <n v="5"/>
    <x v="1"/>
    <x v="1"/>
    <s v="-"/>
    <x v="1"/>
    <n v="0"/>
    <n v="0"/>
    <x v="1"/>
  </r>
  <r>
    <n v="3425"/>
    <s v="Gabriel Teixeira"/>
    <s v="Ultimate"/>
    <d v="2024-09-07T00:00:00"/>
    <s v="No"/>
    <n v="15"/>
    <x v="0"/>
    <x v="0"/>
    <n v="30"/>
    <x v="0"/>
    <n v="20"/>
    <n v="20"/>
    <x v="8"/>
  </r>
  <r>
    <n v="3426"/>
    <s v="Helena Ribeiro"/>
    <s v="Standard"/>
    <d v="2024-09-08T00:00:00"/>
    <s v="Yes"/>
    <n v="10"/>
    <x v="2"/>
    <x v="1"/>
    <s v="-"/>
    <x v="0"/>
    <n v="20"/>
    <n v="15"/>
    <x v="7"/>
  </r>
  <r>
    <n v="3427"/>
    <s v="Igor Mendes"/>
    <s v="Core"/>
    <d v="2024-09-09T00:00:00"/>
    <s v="No"/>
    <n v="5"/>
    <x v="0"/>
    <x v="1"/>
    <s v="-"/>
    <x v="1"/>
    <n v="0"/>
    <n v="1"/>
    <x v="4"/>
  </r>
  <r>
    <n v="3428"/>
    <s v="Joana Silveira"/>
    <s v="Ultimate"/>
    <d v="2024-09-10T00:00:00"/>
    <s v="Yes"/>
    <n v="15"/>
    <x v="1"/>
    <x v="0"/>
    <n v="30"/>
    <x v="0"/>
    <n v="20"/>
    <n v="3"/>
    <x v="3"/>
  </r>
  <r>
    <n v="3429"/>
    <s v="Lucas Martins"/>
    <s v="Standard"/>
    <d v="2024-09-11T00:00:00"/>
    <s v="No"/>
    <n v="10"/>
    <x v="0"/>
    <x v="1"/>
    <s v="-"/>
    <x v="0"/>
    <n v="20"/>
    <n v="10"/>
    <x v="2"/>
  </r>
  <r>
    <n v="3430"/>
    <s v="Marcela Gouveia"/>
    <s v="Core"/>
    <d v="2024-09-12T00:00:00"/>
    <s v="Yes"/>
    <n v="5"/>
    <x v="2"/>
    <x v="1"/>
    <s v="-"/>
    <x v="1"/>
    <n v="0"/>
    <n v="0"/>
    <x v="1"/>
  </r>
  <r>
    <n v="3431"/>
    <s v="Nicolas Borges"/>
    <s v="Ultimate"/>
    <d v="2024-09-13T00:00:00"/>
    <s v="No"/>
    <n v="15"/>
    <x v="0"/>
    <x v="0"/>
    <n v="30"/>
    <x v="0"/>
    <n v="20"/>
    <n v="15"/>
    <x v="14"/>
  </r>
  <r>
    <n v="3432"/>
    <s v="Olivia Freitas"/>
    <s v="Standard"/>
    <d v="2024-09-14T00:00:00"/>
    <s v="Yes"/>
    <n v="10"/>
    <x v="1"/>
    <x v="1"/>
    <s v="-"/>
    <x v="0"/>
    <n v="20"/>
    <n v="15"/>
    <x v="7"/>
  </r>
  <r>
    <n v="3433"/>
    <s v="Paulo Nogueira"/>
    <s v="Core"/>
    <d v="2024-09-15T00:00:00"/>
    <s v="No"/>
    <n v="5"/>
    <x v="0"/>
    <x v="1"/>
    <s v="-"/>
    <x v="1"/>
    <n v="0"/>
    <n v="1"/>
    <x v="4"/>
  </r>
  <r>
    <n v="3434"/>
    <s v="Raquel Andrade"/>
    <s v="Ultimate"/>
    <d v="2024-09-16T00:00:00"/>
    <s v="Yes"/>
    <n v="15"/>
    <x v="2"/>
    <x v="0"/>
    <n v="30"/>
    <x v="0"/>
    <n v="20"/>
    <n v="7"/>
    <x v="12"/>
  </r>
  <r>
    <n v="3435"/>
    <s v="Sônia Carvalho"/>
    <s v="Standard"/>
    <d v="2024-09-17T00:00:00"/>
    <s v="No"/>
    <n v="10"/>
    <x v="0"/>
    <x v="1"/>
    <s v="-"/>
    <x v="0"/>
    <n v="20"/>
    <n v="10"/>
    <x v="2"/>
  </r>
  <r>
    <n v="3436"/>
    <s v="Tiago Rodrigues"/>
    <s v="Core"/>
    <d v="2024-09-18T00:00:00"/>
    <s v="Yes"/>
    <n v="5"/>
    <x v="0"/>
    <x v="1"/>
    <s v="-"/>
    <x v="1"/>
    <n v="0"/>
    <n v="0"/>
    <x v="1"/>
  </r>
  <r>
    <n v="3437"/>
    <s v="Ursula Monteiro"/>
    <s v="Ultimate"/>
    <d v="2024-09-19T00:00:00"/>
    <s v="No"/>
    <n v="15"/>
    <x v="2"/>
    <x v="0"/>
    <n v="30"/>
    <x v="0"/>
    <n v="20"/>
    <n v="7"/>
    <x v="12"/>
  </r>
  <r>
    <n v="3438"/>
    <s v="Vanessa Pereira"/>
    <s v="Standard"/>
    <d v="2024-09-20T00:00:00"/>
    <s v="Yes"/>
    <n v="10"/>
    <x v="1"/>
    <x v="1"/>
    <s v="-"/>
    <x v="0"/>
    <n v="20"/>
    <n v="10"/>
    <x v="2"/>
  </r>
  <r>
    <n v="3439"/>
    <s v="Walter Silva"/>
    <s v="Core"/>
    <d v="2024-09-21T00:00:00"/>
    <s v="No"/>
    <n v="5"/>
    <x v="2"/>
    <x v="1"/>
    <s v="-"/>
    <x v="1"/>
    <n v="0"/>
    <n v="1"/>
    <x v="4"/>
  </r>
  <r>
    <n v="3440"/>
    <s v="Xavier Almeida"/>
    <s v="Ultimate"/>
    <d v="2024-09-22T00:00:00"/>
    <s v="Yes"/>
    <n v="15"/>
    <x v="0"/>
    <x v="0"/>
    <n v="30"/>
    <x v="0"/>
    <n v="20"/>
    <n v="15"/>
    <x v="14"/>
  </r>
  <r>
    <n v="3441"/>
    <s v="Yasmine Correia"/>
    <s v="Standard"/>
    <d v="2024-09-23T00:00:00"/>
    <s v="No"/>
    <n v="10"/>
    <x v="0"/>
    <x v="1"/>
    <s v="-"/>
    <x v="0"/>
    <n v="20"/>
    <n v="5"/>
    <x v="13"/>
  </r>
  <r>
    <n v="3442"/>
    <s v="Zacarias Almeida"/>
    <s v="Core"/>
    <d v="2024-09-24T00:00:00"/>
    <s v="Yes"/>
    <n v="5"/>
    <x v="1"/>
    <x v="1"/>
    <s v="-"/>
    <x v="1"/>
    <n v="0"/>
    <n v="0"/>
    <x v="1"/>
  </r>
  <r>
    <n v="3443"/>
    <s v="Amanda Costa"/>
    <s v="Ultimate"/>
    <d v="2024-09-25T00:00:00"/>
    <s v="No"/>
    <n v="15"/>
    <x v="2"/>
    <x v="0"/>
    <n v="30"/>
    <x v="0"/>
    <n v="20"/>
    <n v="20"/>
    <x v="8"/>
  </r>
  <r>
    <n v="3444"/>
    <s v="Bruno Ferreira"/>
    <s v="Standard"/>
    <d v="2024-09-26T00:00:00"/>
    <s v="Yes"/>
    <n v="10"/>
    <x v="2"/>
    <x v="1"/>
    <s v="-"/>
    <x v="0"/>
    <n v="20"/>
    <n v="12"/>
    <x v="10"/>
  </r>
  <r>
    <n v="3445"/>
    <s v="Carla Dias"/>
    <s v="Core"/>
    <d v="2024-09-27T00:00:00"/>
    <s v="No"/>
    <n v="5"/>
    <x v="0"/>
    <x v="1"/>
    <s v="-"/>
    <x v="1"/>
    <n v="0"/>
    <n v="2"/>
    <x v="11"/>
  </r>
  <r>
    <n v="3446"/>
    <s v="Diogo Martins"/>
    <s v="Ultimate"/>
    <d v="2024-09-28T00:00:00"/>
    <s v="Yes"/>
    <n v="15"/>
    <x v="1"/>
    <x v="0"/>
    <n v="30"/>
    <x v="0"/>
    <n v="20"/>
    <n v="5"/>
    <x v="0"/>
  </r>
  <r>
    <n v="3447"/>
    <s v="Elisa Campos"/>
    <s v="Standard"/>
    <d v="2024-09-29T00:00:00"/>
    <s v="No"/>
    <n v="10"/>
    <x v="0"/>
    <x v="1"/>
    <s v="-"/>
    <x v="0"/>
    <n v="20"/>
    <n v="10"/>
    <x v="2"/>
  </r>
  <r>
    <n v="3448"/>
    <s v="Fabiana Lima"/>
    <s v="Core"/>
    <d v="2024-09-30T00:00:00"/>
    <s v="Yes"/>
    <n v="5"/>
    <x v="2"/>
    <x v="1"/>
    <s v="-"/>
    <x v="1"/>
    <n v="0"/>
    <n v="0"/>
    <x v="1"/>
  </r>
  <r>
    <n v="3449"/>
    <s v="Gabriel Santos"/>
    <s v="Ultimate"/>
    <d v="2024-10-01T00:00:00"/>
    <s v="No"/>
    <n v="15"/>
    <x v="0"/>
    <x v="0"/>
    <n v="30"/>
    <x v="0"/>
    <n v="20"/>
    <n v="3"/>
    <x v="3"/>
  </r>
  <r>
    <n v="3450"/>
    <s v="Helena Ferreira"/>
    <s v="Standard"/>
    <d v="2024-10-02T00:00:00"/>
    <s v="Yes"/>
    <n v="10"/>
    <x v="1"/>
    <x v="1"/>
    <s v="-"/>
    <x v="0"/>
    <n v="20"/>
    <n v="15"/>
    <x v="7"/>
  </r>
  <r>
    <n v="3451"/>
    <s v="Ígor Nunes"/>
    <s v="Core"/>
    <d v="2024-10-03T00:00:00"/>
    <s v="No"/>
    <n v="5"/>
    <x v="0"/>
    <x v="1"/>
    <s v="-"/>
    <x v="1"/>
    <n v="0"/>
    <n v="1"/>
    <x v="4"/>
  </r>
  <r>
    <n v="3452"/>
    <s v="Joana Silveira"/>
    <s v="Ultimate"/>
    <d v="2024-10-04T00:00:00"/>
    <s v="Yes"/>
    <n v="15"/>
    <x v="2"/>
    <x v="0"/>
    <n v="30"/>
    <x v="0"/>
    <n v="20"/>
    <n v="7"/>
    <x v="12"/>
  </r>
  <r>
    <n v="3453"/>
    <s v="Kléber Oliveira"/>
    <s v="Standard"/>
    <d v="2024-10-05T00:00:00"/>
    <s v="No"/>
    <n v="10"/>
    <x v="0"/>
    <x v="1"/>
    <s v="-"/>
    <x v="0"/>
    <n v="20"/>
    <n v="10"/>
    <x v="2"/>
  </r>
  <r>
    <n v="3454"/>
    <s v="Luciana Morais"/>
    <s v="Core"/>
    <d v="2024-10-06T00:00:00"/>
    <s v="Yes"/>
    <n v="5"/>
    <x v="1"/>
    <x v="1"/>
    <s v="-"/>
    <x v="1"/>
    <n v="0"/>
    <n v="0"/>
    <x v="1"/>
  </r>
  <r>
    <n v="3455"/>
    <s v="Marcos Vinícius"/>
    <s v="Ultimate"/>
    <d v="2024-10-07T00:00:00"/>
    <s v="No"/>
    <n v="15"/>
    <x v="0"/>
    <x v="0"/>
    <n v="30"/>
    <x v="0"/>
    <n v="20"/>
    <n v="20"/>
    <x v="8"/>
  </r>
  <r>
    <n v="3456"/>
    <s v="Natália Barros"/>
    <s v="Standard"/>
    <d v="2024-10-08T00:00:00"/>
    <s v="Yes"/>
    <n v="10"/>
    <x v="2"/>
    <x v="1"/>
    <s v="-"/>
    <x v="0"/>
    <n v="20"/>
    <n v="15"/>
    <x v="7"/>
  </r>
  <r>
    <n v="3457"/>
    <s v="Oscar Sampaio"/>
    <s v="Core"/>
    <d v="2024-10-09T00:00:00"/>
    <s v="No"/>
    <n v="5"/>
    <x v="0"/>
    <x v="1"/>
    <s v="-"/>
    <x v="1"/>
    <n v="0"/>
    <n v="1"/>
    <x v="4"/>
  </r>
  <r>
    <n v="3458"/>
    <s v="Patrícia Leite"/>
    <s v="Ultimate"/>
    <d v="2024-10-10T00:00:00"/>
    <s v="Yes"/>
    <n v="15"/>
    <x v="1"/>
    <x v="0"/>
    <n v="30"/>
    <x v="0"/>
    <n v="20"/>
    <n v="3"/>
    <x v="3"/>
  </r>
  <r>
    <n v="3459"/>
    <s v="Quênia Rocha"/>
    <s v="Standard"/>
    <d v="2024-10-11T00:00:00"/>
    <s v="No"/>
    <n v="10"/>
    <x v="0"/>
    <x v="1"/>
    <s v="-"/>
    <x v="0"/>
    <n v="20"/>
    <n v="10"/>
    <x v="2"/>
  </r>
  <r>
    <n v="3460"/>
    <s v="Rafael Torres"/>
    <s v="Core"/>
    <d v="2024-10-12T00:00:00"/>
    <s v="Yes"/>
    <n v="5"/>
    <x v="2"/>
    <x v="1"/>
    <s v="-"/>
    <x v="1"/>
    <n v="0"/>
    <n v="0"/>
    <x v="1"/>
  </r>
  <r>
    <n v="3461"/>
    <s v="Sandra Gouveia"/>
    <s v="Ultimate"/>
    <d v="2024-10-13T00:00:00"/>
    <s v="No"/>
    <n v="15"/>
    <x v="0"/>
    <x v="0"/>
    <n v="30"/>
    <x v="0"/>
    <n v="20"/>
    <n v="15"/>
    <x v="14"/>
  </r>
  <r>
    <n v="3462"/>
    <s v="Tiago Lacerda"/>
    <s v="Standard"/>
    <d v="2024-10-14T00:00:00"/>
    <s v="Yes"/>
    <n v="10"/>
    <x v="1"/>
    <x v="1"/>
    <s v="-"/>
    <x v="0"/>
    <n v="20"/>
    <n v="15"/>
    <x v="7"/>
  </r>
  <r>
    <n v="3463"/>
    <s v="Ursula Fonseca"/>
    <s v="Core"/>
    <d v="2024-10-15T00:00:00"/>
    <s v="No"/>
    <n v="5"/>
    <x v="0"/>
    <x v="1"/>
    <s v="-"/>
    <x v="1"/>
    <n v="0"/>
    <n v="1"/>
    <x v="4"/>
  </r>
  <r>
    <n v="3464"/>
    <s v="Vanessa Andrade"/>
    <s v="Ultimate"/>
    <d v="2024-10-16T00:00:00"/>
    <s v="Yes"/>
    <n v="15"/>
    <x v="2"/>
    <x v="0"/>
    <n v="30"/>
    <x v="0"/>
    <n v="20"/>
    <n v="7"/>
    <x v="12"/>
  </r>
  <r>
    <n v="3465"/>
    <s v="William Castro"/>
    <s v="Standard"/>
    <d v="2024-10-17T00:00:00"/>
    <s v="No"/>
    <n v="10"/>
    <x v="0"/>
    <x v="1"/>
    <s v="-"/>
    <x v="0"/>
    <n v="20"/>
    <n v="10"/>
    <x v="2"/>
  </r>
  <r>
    <n v="3466"/>
    <s v="Xavier Monteiro"/>
    <s v="Core"/>
    <d v="2024-10-18T00:00:00"/>
    <s v="Yes"/>
    <n v="5"/>
    <x v="1"/>
    <x v="1"/>
    <s v="-"/>
    <x v="1"/>
    <n v="0"/>
    <n v="0"/>
    <x v="1"/>
  </r>
  <r>
    <n v="3467"/>
    <s v="Yasmin Figueira"/>
    <s v="Ultimate"/>
    <d v="2024-10-19T00:00:00"/>
    <s v="No"/>
    <n v="15"/>
    <x v="0"/>
    <x v="0"/>
    <n v="30"/>
    <x v="0"/>
    <n v="20"/>
    <n v="15"/>
    <x v="14"/>
  </r>
  <r>
    <n v="3468"/>
    <s v="Zacarias Mendonça"/>
    <s v="Standard"/>
    <d v="2024-10-20T00:00:00"/>
    <s v="Yes"/>
    <n v="10"/>
    <x v="2"/>
    <x v="1"/>
    <s v="-"/>
    <x v="0"/>
    <n v="20"/>
    <n v="12"/>
    <x v="10"/>
  </r>
  <r>
    <n v="3469"/>
    <s v="Amanda Menezes"/>
    <s v="Core"/>
    <d v="2024-10-21T00:00:00"/>
    <s v="No"/>
    <n v="5"/>
    <x v="0"/>
    <x v="1"/>
    <s v="-"/>
    <x v="1"/>
    <n v="0"/>
    <n v="2"/>
    <x v="11"/>
  </r>
  <r>
    <n v="3470"/>
    <s v="Bruno Santos"/>
    <s v="Ultimate"/>
    <d v="2024-10-22T00:00:00"/>
    <s v="Yes"/>
    <n v="15"/>
    <x v="1"/>
    <x v="0"/>
    <n v="30"/>
    <x v="0"/>
    <n v="20"/>
    <n v="5"/>
    <x v="0"/>
  </r>
  <r>
    <n v="3471"/>
    <s v="Carla Ferreira"/>
    <s v="Standard"/>
    <d v="2024-10-23T00:00:00"/>
    <s v="No"/>
    <n v="10"/>
    <x v="0"/>
    <x v="1"/>
    <s v="-"/>
    <x v="0"/>
    <n v="20"/>
    <n v="10"/>
    <x v="2"/>
  </r>
  <r>
    <n v="3472"/>
    <s v="Diogo Alves"/>
    <s v="Core"/>
    <d v="2024-10-24T00:00:00"/>
    <s v="Yes"/>
    <n v="5"/>
    <x v="2"/>
    <x v="1"/>
    <s v="-"/>
    <x v="1"/>
    <n v="0"/>
    <n v="0"/>
    <x v="1"/>
  </r>
  <r>
    <n v="3473"/>
    <s v="Elisa Neves"/>
    <s v="Ultimate"/>
    <d v="2024-10-25T00:00:00"/>
    <s v="No"/>
    <n v="15"/>
    <x v="0"/>
    <x v="0"/>
    <n v="30"/>
    <x v="0"/>
    <n v="20"/>
    <n v="3"/>
    <x v="3"/>
  </r>
  <r>
    <n v="3474"/>
    <s v="Fabiano Pires"/>
    <s v="Standard"/>
    <d v="2024-10-26T00:00:00"/>
    <s v="Yes"/>
    <n v="10"/>
    <x v="1"/>
    <x v="1"/>
    <s v="-"/>
    <x v="0"/>
    <n v="20"/>
    <n v="15"/>
    <x v="7"/>
  </r>
  <r>
    <n v="3475"/>
    <s v="Giovana Ribeiro"/>
    <s v="Core"/>
    <d v="2024-10-27T00:00:00"/>
    <s v="No"/>
    <n v="5"/>
    <x v="0"/>
    <x v="1"/>
    <s v="-"/>
    <x v="1"/>
    <n v="0"/>
    <n v="1"/>
    <x v="4"/>
  </r>
  <r>
    <n v="3476"/>
    <s v="Hélio Costa"/>
    <s v="Ultimate"/>
    <d v="2024-10-28T00:00:00"/>
    <s v="Yes"/>
    <n v="15"/>
    <x v="2"/>
    <x v="0"/>
    <n v="30"/>
    <x v="0"/>
    <n v="20"/>
    <n v="7"/>
    <x v="12"/>
  </r>
  <r>
    <n v="3477"/>
    <s v="Íris Loureiro"/>
    <s v="Standard"/>
    <d v="2024-10-29T00:00:00"/>
    <s v="No"/>
    <n v="10"/>
    <x v="0"/>
    <x v="1"/>
    <s v="-"/>
    <x v="0"/>
    <n v="20"/>
    <n v="10"/>
    <x v="2"/>
  </r>
  <r>
    <n v="3478"/>
    <s v="João Pereira"/>
    <s v="Core"/>
    <d v="2024-10-30T00:00:00"/>
    <s v="Yes"/>
    <n v="5"/>
    <x v="1"/>
    <x v="1"/>
    <s v="-"/>
    <x v="1"/>
    <n v="0"/>
    <n v="0"/>
    <x v="1"/>
  </r>
  <r>
    <n v="3479"/>
    <s v="Klara Silva"/>
    <s v="Ultimate"/>
    <d v="2024-10-31T00:00:00"/>
    <s v="No"/>
    <n v="15"/>
    <x v="0"/>
    <x v="0"/>
    <n v="30"/>
    <x v="0"/>
    <n v="20"/>
    <n v="20"/>
    <x v="8"/>
  </r>
  <r>
    <n v="3480"/>
    <s v="Luciana Barros"/>
    <s v="Standard"/>
    <d v="2024-11-01T00:00:00"/>
    <s v="Yes"/>
    <n v="10"/>
    <x v="2"/>
    <x v="1"/>
    <s v="-"/>
    <x v="0"/>
    <n v="20"/>
    <n v="15"/>
    <x v="7"/>
  </r>
  <r>
    <n v="3481"/>
    <s v="Marcos Gomes"/>
    <s v="Core"/>
    <d v="2024-11-02T00:00:00"/>
    <s v="No"/>
    <n v="5"/>
    <x v="0"/>
    <x v="1"/>
    <s v="-"/>
    <x v="1"/>
    <n v="0"/>
    <n v="1"/>
    <x v="4"/>
  </r>
  <r>
    <n v="3482"/>
    <s v="Natália Soares"/>
    <s v="Ultimate"/>
    <d v="2024-11-03T00:00:00"/>
    <s v="Yes"/>
    <n v="15"/>
    <x v="1"/>
    <x v="0"/>
    <n v="30"/>
    <x v="0"/>
    <n v="20"/>
    <n v="3"/>
    <x v="3"/>
  </r>
  <r>
    <n v="3483"/>
    <s v="Oscar Machado"/>
    <s v="Standard"/>
    <d v="2024-11-04T00:00:00"/>
    <s v="No"/>
    <n v="10"/>
    <x v="0"/>
    <x v="1"/>
    <s v="-"/>
    <x v="0"/>
    <n v="20"/>
    <n v="10"/>
    <x v="2"/>
  </r>
  <r>
    <n v="3484"/>
    <s v="Patrícia Lima"/>
    <s v="Core"/>
    <d v="2024-11-05T00:00:00"/>
    <s v="Yes"/>
    <n v="5"/>
    <x v="2"/>
    <x v="1"/>
    <s v="-"/>
    <x v="1"/>
    <n v="0"/>
    <n v="0"/>
    <x v="1"/>
  </r>
  <r>
    <n v="3485"/>
    <s v="Quirino Neto"/>
    <s v="Ultimate"/>
    <d v="2024-11-06T00:00:00"/>
    <s v="No"/>
    <n v="15"/>
    <x v="0"/>
    <x v="0"/>
    <n v="30"/>
    <x v="0"/>
    <n v="20"/>
    <n v="15"/>
    <x v="14"/>
  </r>
  <r>
    <n v="3486"/>
    <s v="Rafaela Souza"/>
    <s v="Core"/>
    <d v="2024-11-07T00:00:00"/>
    <s v="Yes"/>
    <n v="5"/>
    <x v="0"/>
    <x v="1"/>
    <s v="-"/>
    <x v="1"/>
    <n v="0"/>
    <n v="0"/>
    <x v="1"/>
  </r>
  <r>
    <n v="3487"/>
    <s v="Sandro Almeida"/>
    <s v="Ultimate"/>
    <d v="2024-11-08T00:00:00"/>
    <s v="No"/>
    <n v="15"/>
    <x v="2"/>
    <x v="0"/>
    <n v="30"/>
    <x v="0"/>
    <n v="20"/>
    <n v="7"/>
    <x v="12"/>
  </r>
  <r>
    <n v="3488"/>
    <s v="Tânia Ribeiro"/>
    <s v="Standard"/>
    <d v="2024-11-09T00:00:00"/>
    <s v="Yes"/>
    <n v="10"/>
    <x v="1"/>
    <x v="1"/>
    <s v="-"/>
    <x v="0"/>
    <n v="20"/>
    <n v="10"/>
    <x v="2"/>
  </r>
  <r>
    <n v="3489"/>
    <s v="Ugo Dias"/>
    <s v="Core"/>
    <d v="2024-11-10T00:00:00"/>
    <s v="No"/>
    <n v="5"/>
    <x v="2"/>
    <x v="1"/>
    <s v="-"/>
    <x v="1"/>
    <n v="0"/>
    <n v="1"/>
    <x v="4"/>
  </r>
  <r>
    <n v="3490"/>
    <s v="Valéria Lima"/>
    <s v="Ultimate"/>
    <d v="2024-11-11T00:00:00"/>
    <s v="Yes"/>
    <n v="15"/>
    <x v="0"/>
    <x v="0"/>
    <n v="30"/>
    <x v="0"/>
    <n v="20"/>
    <n v="15"/>
    <x v="14"/>
  </r>
  <r>
    <n v="3491"/>
    <s v="William Fernandes"/>
    <s v="Standard"/>
    <d v="2024-11-12T00:00:00"/>
    <s v="No"/>
    <n v="10"/>
    <x v="0"/>
    <x v="1"/>
    <s v="-"/>
    <x v="0"/>
    <n v="20"/>
    <n v="5"/>
    <x v="13"/>
  </r>
  <r>
    <n v="3492"/>
    <s v="Xuxa Mendes"/>
    <s v="Core"/>
    <d v="2024-11-13T00:00:00"/>
    <s v="Yes"/>
    <n v="5"/>
    <x v="1"/>
    <x v="1"/>
    <s v="-"/>
    <x v="1"/>
    <n v="0"/>
    <n v="0"/>
    <x v="1"/>
  </r>
  <r>
    <n v="3493"/>
    <s v="Ygor Farias"/>
    <s v="Ultimate"/>
    <d v="2024-11-14T00:00:00"/>
    <s v="No"/>
    <n v="15"/>
    <x v="2"/>
    <x v="0"/>
    <n v="30"/>
    <x v="0"/>
    <n v="20"/>
    <n v="20"/>
    <x v="8"/>
  </r>
  <r>
    <n v="3494"/>
    <s v="Zilda Barros"/>
    <s v="Standard"/>
    <d v="2024-11-15T00:00:00"/>
    <s v="Yes"/>
    <n v="10"/>
    <x v="2"/>
    <x v="1"/>
    <s v="-"/>
    <x v="0"/>
    <n v="20"/>
    <n v="12"/>
    <x v="10"/>
  </r>
  <r>
    <n v="3495"/>
    <s v="Amanda Santos"/>
    <s v="Core"/>
    <d v="2024-11-16T00:00:00"/>
    <s v="No"/>
    <n v="5"/>
    <x v="0"/>
    <x v="1"/>
    <s v="-"/>
    <x v="1"/>
    <n v="0"/>
    <n v="2"/>
    <x v="11"/>
  </r>
  <r>
    <n v="3496"/>
    <s v="Bruno Costa"/>
    <s v="Ultimate"/>
    <d v="2024-11-17T00:00:00"/>
    <s v="Yes"/>
    <n v="15"/>
    <x v="1"/>
    <x v="0"/>
    <n v="30"/>
    <x v="0"/>
    <n v="20"/>
    <n v="5"/>
    <x v="0"/>
  </r>
  <r>
    <n v="3497"/>
    <s v="Carla Rodrigues"/>
    <s v="Standard"/>
    <d v="2024-11-18T00:00:00"/>
    <s v="No"/>
    <n v="10"/>
    <x v="0"/>
    <x v="1"/>
    <s v="-"/>
    <x v="0"/>
    <n v="20"/>
    <n v="10"/>
    <x v="2"/>
  </r>
  <r>
    <n v="3498"/>
    <s v="Diogo Pereira"/>
    <s v="Core"/>
    <d v="2024-11-19T00:00:00"/>
    <s v="Yes"/>
    <n v="5"/>
    <x v="2"/>
    <x v="1"/>
    <s v="-"/>
    <x v="1"/>
    <n v="0"/>
    <n v="0"/>
    <x v="1"/>
  </r>
  <r>
    <n v="3499"/>
    <s v="Elisa Correia"/>
    <s v="Ultimate"/>
    <d v="2024-11-20T00:00:00"/>
    <s v="No"/>
    <n v="15"/>
    <x v="0"/>
    <x v="0"/>
    <n v="30"/>
    <x v="0"/>
    <n v="20"/>
    <n v="3"/>
    <x v="3"/>
  </r>
  <r>
    <n v="3500"/>
    <s v="Fábio Lourenço"/>
    <s v="Standard"/>
    <d v="2024-11-21T00:00:00"/>
    <s v="Yes"/>
    <n v="10"/>
    <x v="1"/>
    <x v="1"/>
    <s v="-"/>
    <x v="0"/>
    <n v="20"/>
    <n v="15"/>
    <x v="7"/>
  </r>
  <r>
    <n v="3501"/>
    <s v="Gabriela Neves"/>
    <s v="Core"/>
    <d v="2024-11-22T00:00:00"/>
    <s v="No"/>
    <n v="5"/>
    <x v="0"/>
    <x v="1"/>
    <s v="-"/>
    <x v="1"/>
    <n v="0"/>
    <n v="1"/>
    <x v="4"/>
  </r>
  <r>
    <n v="3502"/>
    <s v="Henrique Gonçalves"/>
    <s v="Ultimate"/>
    <d v="2024-11-23T00:00:00"/>
    <s v="Yes"/>
    <n v="15"/>
    <x v="2"/>
    <x v="0"/>
    <n v="30"/>
    <x v="0"/>
    <n v="20"/>
    <n v="7"/>
    <x v="12"/>
  </r>
  <r>
    <n v="3503"/>
    <s v="Íris Santos"/>
    <s v="Standard"/>
    <d v="2024-11-24T00:00:00"/>
    <s v="No"/>
    <n v="10"/>
    <x v="0"/>
    <x v="1"/>
    <s v="-"/>
    <x v="0"/>
    <n v="20"/>
    <n v="10"/>
    <x v="2"/>
  </r>
  <r>
    <n v="3504"/>
    <s v="João Marcelo Alves"/>
    <s v="Core"/>
    <d v="2024-11-25T00:00:00"/>
    <s v="Yes"/>
    <n v="5"/>
    <x v="1"/>
    <x v="1"/>
    <s v="-"/>
    <x v="1"/>
    <n v="0"/>
    <n v="0"/>
    <x v="1"/>
  </r>
  <r>
    <n v="3505"/>
    <s v="Klara Fonseca"/>
    <s v="Ultimate"/>
    <d v="2024-11-26T00:00:00"/>
    <s v="No"/>
    <n v="15"/>
    <x v="0"/>
    <x v="0"/>
    <n v="30"/>
    <x v="0"/>
    <n v="20"/>
    <n v="20"/>
    <x v="8"/>
  </r>
  <r>
    <n v="3506"/>
    <s v="Lucas Mendonça"/>
    <s v="Standard"/>
    <d v="2024-11-27T00:00:00"/>
    <s v="Yes"/>
    <n v="10"/>
    <x v="2"/>
    <x v="1"/>
    <s v="-"/>
    <x v="0"/>
    <n v="20"/>
    <n v="15"/>
    <x v="7"/>
  </r>
  <r>
    <n v="3507"/>
    <s v="Marcela Torres"/>
    <s v="Core"/>
    <d v="2024-11-28T00:00:00"/>
    <s v="No"/>
    <n v="5"/>
    <x v="0"/>
    <x v="1"/>
    <s v="-"/>
    <x v="1"/>
    <n v="0"/>
    <n v="1"/>
    <x v="4"/>
  </r>
  <r>
    <n v="3508"/>
    <s v="Natália Castro"/>
    <s v="Ultimate"/>
    <d v="2024-11-29T00:00:00"/>
    <s v="Yes"/>
    <n v="15"/>
    <x v="1"/>
    <x v="0"/>
    <n v="30"/>
    <x v="0"/>
    <n v="20"/>
    <n v="3"/>
    <x v="3"/>
  </r>
  <r>
    <n v="3509"/>
    <s v="Oscar Martins"/>
    <s v="Standard"/>
    <d v="2024-11-30T00:00:00"/>
    <s v="No"/>
    <n v="10"/>
    <x v="0"/>
    <x v="1"/>
    <s v="-"/>
    <x v="0"/>
    <n v="20"/>
    <n v="10"/>
    <x v="2"/>
  </r>
  <r>
    <n v="3510"/>
    <s v="Patrícia Oliveira"/>
    <s v="Core"/>
    <d v="2024-12-01T00:00:00"/>
    <s v="Yes"/>
    <n v="5"/>
    <x v="2"/>
    <x v="1"/>
    <s v="-"/>
    <x v="1"/>
    <n v="0"/>
    <n v="0"/>
    <x v="1"/>
  </r>
  <r>
    <n v="3511"/>
    <s v="Quentin Nogueira"/>
    <s v="Ultimate"/>
    <d v="2024-12-02T00:00:00"/>
    <s v="No"/>
    <n v="15"/>
    <x v="0"/>
    <x v="0"/>
    <n v="30"/>
    <x v="0"/>
    <n v="20"/>
    <n v="15"/>
    <x v="14"/>
  </r>
  <r>
    <n v="3512"/>
    <s v="Raquel Silva"/>
    <s v="Standard"/>
    <d v="2024-12-03T00:00:00"/>
    <s v="Yes"/>
    <n v="10"/>
    <x v="1"/>
    <x v="1"/>
    <s v="-"/>
    <x v="0"/>
    <n v="20"/>
    <n v="15"/>
    <x v="7"/>
  </r>
  <r>
    <n v="3513"/>
    <s v="Sandro Gomes"/>
    <s v="Core"/>
    <d v="2024-12-04T00:00:00"/>
    <s v="No"/>
    <n v="5"/>
    <x v="0"/>
    <x v="1"/>
    <s v="-"/>
    <x v="1"/>
    <n v="0"/>
    <n v="1"/>
    <x v="4"/>
  </r>
  <r>
    <n v="3514"/>
    <s v="Tânia Machado"/>
    <s v="Ultimate"/>
    <d v="2024-12-05T00:00:00"/>
    <s v="Yes"/>
    <n v="15"/>
    <x v="2"/>
    <x v="0"/>
    <n v="30"/>
    <x v="0"/>
    <n v="20"/>
    <n v="7"/>
    <x v="12"/>
  </r>
  <r>
    <n v="3515"/>
    <s v="Ursula Silva"/>
    <s v="Standard"/>
    <d v="2024-12-06T00:00:00"/>
    <s v="No"/>
    <n v="10"/>
    <x v="0"/>
    <x v="1"/>
    <s v="-"/>
    <x v="0"/>
    <n v="20"/>
    <n v="10"/>
    <x v="2"/>
  </r>
  <r>
    <n v="3516"/>
    <s v="Vanessa Moraes"/>
    <s v="Core"/>
    <d v="2024-12-07T00:00:00"/>
    <s v="Yes"/>
    <n v="5"/>
    <x v="1"/>
    <x v="1"/>
    <s v="-"/>
    <x v="1"/>
    <n v="0"/>
    <n v="0"/>
    <x v="1"/>
  </r>
  <r>
    <n v="3517"/>
    <s v="William Carvalho"/>
    <s v="Ultimate"/>
    <d v="2024-12-08T00:00:00"/>
    <s v="No"/>
    <n v="15"/>
    <x v="0"/>
    <x v="0"/>
    <n v="30"/>
    <x v="0"/>
    <n v="20"/>
    <n v="20"/>
    <x v="8"/>
  </r>
  <r>
    <n v="3518"/>
    <s v="Xavier Reis"/>
    <s v="Standard"/>
    <d v="2024-12-09T00:00:00"/>
    <s v="Yes"/>
    <n v="10"/>
    <x v="2"/>
    <x v="1"/>
    <s v="-"/>
    <x v="0"/>
    <n v="20"/>
    <n v="12"/>
    <x v="10"/>
  </r>
  <r>
    <n v="3519"/>
    <s v="Yasmin Rocha"/>
    <s v="Core"/>
    <d v="2024-12-10T00:00:00"/>
    <s v="No"/>
    <n v="5"/>
    <x v="0"/>
    <x v="1"/>
    <s v="-"/>
    <x v="1"/>
    <n v="0"/>
    <n v="2"/>
    <x v="11"/>
  </r>
  <r>
    <n v="3520"/>
    <s v="Zacarias Duarte"/>
    <s v="Ultimate"/>
    <d v="2024-12-11T00:00:00"/>
    <s v="Yes"/>
    <n v="15"/>
    <x v="1"/>
    <x v="0"/>
    <n v="30"/>
    <x v="0"/>
    <n v="20"/>
    <n v="5"/>
    <x v="0"/>
  </r>
  <r>
    <n v="3521"/>
    <s v="Amanda Freitas"/>
    <s v="Standard"/>
    <d v="2024-12-12T00:00:00"/>
    <s v="No"/>
    <n v="10"/>
    <x v="0"/>
    <x v="1"/>
    <s v="-"/>
    <x v="0"/>
    <n v="20"/>
    <n v="10"/>
    <x v="2"/>
  </r>
  <r>
    <n v="3522"/>
    <s v="Bruno Almeida"/>
    <s v="Core"/>
    <d v="2024-12-13T00:00:00"/>
    <s v="Yes"/>
    <n v="5"/>
    <x v="2"/>
    <x v="1"/>
    <s v="-"/>
    <x v="1"/>
    <n v="0"/>
    <n v="0"/>
    <x v="1"/>
  </r>
  <r>
    <n v="3523"/>
    <s v="Carla Siqueira"/>
    <s v="Ultimate"/>
    <d v="2024-12-14T00:00:00"/>
    <s v="No"/>
    <n v="15"/>
    <x v="0"/>
    <x v="0"/>
    <n v="30"/>
    <x v="0"/>
    <n v="20"/>
    <n v="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1D90EC-D535-4269-873B-32F294050898}" name="Tabela dinâmica5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65:E70" firstHeaderRow="1" firstDataRow="2" firstDataCol="1"/>
  <pivotFields count="13">
    <pivotField dataField="1" showAll="0"/>
    <pivotField showAll="0"/>
    <pivotField showAll="0"/>
    <pivotField numFmtId="14" showAll="0"/>
    <pivotField showAll="0"/>
    <pivotField numFmtId="44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axis="axisCol" showAll="0">
      <items count="3">
        <item x="1"/>
        <item x="0"/>
        <item t="default"/>
      </items>
    </pivotField>
    <pivotField numFmtId="44" showAll="0"/>
    <pivotField numFmtId="44" showAll="0"/>
    <pivotField numFmtId="44"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Contagem de Subscriber ID" fld="0" subtotal="count" baseField="6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A01F98-75BB-4AED-8BCA-8E88565558F9}" name="Tabela dinâmica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56:E61" firstHeaderRow="1" firstDataRow="2" firstDataCol="1"/>
  <pivotFields count="13">
    <pivotField dataField="1" showAll="0"/>
    <pivotField showAll="0"/>
    <pivotField showAll="0"/>
    <pivotField numFmtId="14" showAll="0"/>
    <pivotField showAll="0"/>
    <pivotField numFmtId="44" showAll="0"/>
    <pivotField axis="axisRow" showAll="0">
      <items count="4">
        <item x="1"/>
        <item x="0"/>
        <item x="2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numFmtId="44" showAll="0"/>
    <pivotField numFmtId="44" showAll="0"/>
    <pivotField numFmtId="44"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Contagem de Subscriber ID" fld="0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600269-FEF1-4752-9886-D9F4CA763B8C}" name="Tabela dinâ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B47:C51" firstHeaderRow="1" firstDataRow="1" firstDataCol="1"/>
  <pivotFields count="13">
    <pivotField showAll="0"/>
    <pivotField showAll="0"/>
    <pivotField showAll="0"/>
    <pivotField numFmtId="14" showAll="0"/>
    <pivotField showAll="0"/>
    <pivotField numFmtId="44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dataField="1" numFmtId="44" showAll="0"/>
    <pivotField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Média de Coupon Value" fld="11" subtotal="average" baseField="6" baseItem="2"/>
  </dataFields>
  <formats count="2">
    <format dxfId="1">
      <pivotArea collapsedLevelsAreSubtotals="1" fieldPosition="0">
        <references count="1">
          <reference field="6" count="0"/>
        </references>
      </pivotArea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B4B16E-A915-4C72-867C-39FD4FE3367F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3:C37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1CB906-076A-4929-9F4F-98B69EF5702D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1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E52CCF-F038-4B3C-9601-9389081147FC}" name="tbl_a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11:C15" firstHeaderRow="1" firstDataRow="1" firstDataCol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Row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2">
    <field x="6"/>
    <field x="4"/>
  </rowFields>
  <rowItems count="4">
    <i>
      <x/>
    </i>
    <i r="1">
      <x/>
    </i>
    <i r="1">
      <x v="1"/>
    </i>
    <i t="grand">
      <x/>
    </i>
  </rowItems>
  <colItems count="1">
    <i/>
  </colItems>
  <dataFields count="1">
    <dataField name="Soma de Total Value" fld="12" baseField="0" baseItem="0" numFmtId="164"/>
  </dataFields>
  <formats count="1">
    <format dxfId="4">
      <pivotArea outline="0" collapsedLevelsAreSubtotals="1" fieldPosition="0"/>
    </format>
  </formats>
  <chartFormats count="3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6" count="1" selected="0">
            <x v="1"/>
          </reference>
        </references>
      </pivotArea>
    </chartFormat>
    <chartFormat chart="4" format="4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22B258CB-0709-4AE9-9386-D6B1472DA3D4}" sourceName="Subscription Type">
  <pivotTables>
    <pivotTable tabId="3" name="tbl_anual_total"/>
    <pivotTable tabId="3" name="tbl_easeasonpass_total"/>
    <pivotTable tabId="3" name="Tabela dinâmica3"/>
  </pivotTables>
  <data>
    <tabular pivotCacheId="1167472639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043E47DC-A0D2-4233-A402-5059CECB77CF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8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7"/>
    <tableColumn id="2" xr3:uid="{53DD39D0-2220-4121-9E9D-4EAA7E151C0F}" name="Name" dataDxfId="16"/>
    <tableColumn id="3" xr3:uid="{4F5FF271-4C57-4BE0-8F2C-F82C8551625C}" name="Plan" dataDxfId="15"/>
    <tableColumn id="4" xr3:uid="{8C17EB93-79B9-4E55-B8F7-BEB82F8253E9}" name="Start Date" dataDxfId="14"/>
    <tableColumn id="5" xr3:uid="{48CEDF9B-1689-482A-A828-5CCE7713264A}" name="Auto Renewal" dataDxfId="13"/>
    <tableColumn id="6" xr3:uid="{78B82374-9AA7-4E38-AE4F-78CDE6C83720}" name="Subscription Price" dataDxfId="12" dataCellStyle="Moeda"/>
    <tableColumn id="7" xr3:uid="{F2433F68-AF33-49D0-B1FB-19A396074EDE}" name="Subscription Type" dataDxfId="11"/>
    <tableColumn id="8" xr3:uid="{FD4D9C95-F6E5-4933-9068-A71FF7DF9343}" name="EA Play Season Pass" dataDxfId="10"/>
    <tableColumn id="13" xr3:uid="{978DD0D2-834E-4CE4-A39B-30976086932F}" name="EA Play Season Pass_x000a_Price" dataDxfId="9" dataCellStyle="Moeda"/>
    <tableColumn id="9" xr3:uid="{6E29F111-C395-4580-9DAD-3407D9E8B1A4}" name="Minecraft Season Pass" dataDxfId="8"/>
    <tableColumn id="10" xr3:uid="{EF544EAA-7F25-4FD5-A10E-8E62804DB9E3}" name="Minecraft Season Pass Price" dataDxfId="7" dataCellStyle="Moeda"/>
    <tableColumn id="11" xr3:uid="{7F6EB64A-1F07-4E48-9F0F-AC7D9DCD26F8}" name="Coupon Value" dataDxfId="6" dataCellStyle="Moeda"/>
    <tableColumn id="12" xr3:uid="{2B04ABC8-DE6F-426E-ADC0-D8AFC68CA58E}" name="Total Value" dataDxfId="5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U5" sqref="U1:U104857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C247" zoomScaleNormal="100" workbookViewId="0">
      <selection activeCell="E258" sqref="E258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10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V70"/>
  <sheetViews>
    <sheetView showGridLines="0" topLeftCell="A38" workbookViewId="0">
      <selection activeCell="I47" sqref="I47:J50"/>
    </sheetView>
  </sheetViews>
  <sheetFormatPr defaultRowHeight="15" x14ac:dyDescent="0.25"/>
  <cols>
    <col min="2" max="2" width="18.42578125" bestFit="1" customWidth="1"/>
    <col min="3" max="6" width="22.57031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2" width="9.7109375" bestFit="1" customWidth="1"/>
    <col min="13" max="13" width="20.7109375" bestFit="1" customWidth="1"/>
    <col min="14" max="14" width="19.28515625" bestFit="1" customWidth="1"/>
    <col min="15" max="15" width="9.7109375" bestFit="1" customWidth="1"/>
    <col min="16" max="16" width="15.5703125" bestFit="1" customWidth="1"/>
    <col min="17" max="17" width="12.140625" bestFit="1" customWidth="1"/>
    <col min="18" max="18" width="17.7109375" bestFit="1" customWidth="1"/>
    <col min="19" max="19" width="22.5703125" bestFit="1" customWidth="1"/>
    <col min="21" max="21" width="17.7109375" bestFit="1" customWidth="1"/>
    <col min="22" max="22" width="16.42578125" bestFit="1" customWidth="1"/>
  </cols>
  <sheetData>
    <row r="3" spans="2:4" x14ac:dyDescent="0.25">
      <c r="B3" s="24" t="s">
        <v>313</v>
      </c>
      <c r="C3" s="24"/>
      <c r="D3" s="24"/>
    </row>
    <row r="5" spans="2:4" x14ac:dyDescent="0.25">
      <c r="B5" t="s">
        <v>314</v>
      </c>
    </row>
    <row r="6" spans="2:4" x14ac:dyDescent="0.25">
      <c r="B6" t="s">
        <v>318</v>
      </c>
    </row>
    <row r="11" spans="2:4" x14ac:dyDescent="0.25">
      <c r="B11" s="12" t="s">
        <v>315</v>
      </c>
      <c r="C11" t="s">
        <v>317</v>
      </c>
    </row>
    <row r="12" spans="2:4" x14ac:dyDescent="0.25">
      <c r="B12" s="13" t="s">
        <v>24</v>
      </c>
      <c r="C12" s="14">
        <v>1754</v>
      </c>
    </row>
    <row r="13" spans="2:4" x14ac:dyDescent="0.25">
      <c r="B13" s="15" t="s">
        <v>23</v>
      </c>
      <c r="C13" s="14">
        <v>217</v>
      </c>
    </row>
    <row r="14" spans="2:4" x14ac:dyDescent="0.25">
      <c r="B14" s="15" t="s">
        <v>19</v>
      </c>
      <c r="C14" s="14">
        <v>1537</v>
      </c>
    </row>
    <row r="15" spans="2:4" x14ac:dyDescent="0.25">
      <c r="B15" s="13" t="s">
        <v>316</v>
      </c>
      <c r="C15" s="14">
        <v>1754</v>
      </c>
    </row>
    <row r="17" spans="2:6" x14ac:dyDescent="0.25">
      <c r="B17" t="s">
        <v>321</v>
      </c>
    </row>
    <row r="19" spans="2:6" x14ac:dyDescent="0.25">
      <c r="B19" s="12" t="s">
        <v>16</v>
      </c>
      <c r="C19" t="s">
        <v>24</v>
      </c>
    </row>
    <row r="21" spans="2:6" x14ac:dyDescent="0.25">
      <c r="B21" s="12" t="s">
        <v>315</v>
      </c>
      <c r="C21" t="s">
        <v>320</v>
      </c>
    </row>
    <row r="22" spans="2:6" x14ac:dyDescent="0.25">
      <c r="B22" s="13" t="s">
        <v>22</v>
      </c>
      <c r="C22" s="14">
        <v>0</v>
      </c>
    </row>
    <row r="23" spans="2:6" x14ac:dyDescent="0.25">
      <c r="B23" s="13" t="s">
        <v>26</v>
      </c>
      <c r="C23" s="14">
        <v>0</v>
      </c>
    </row>
    <row r="24" spans="2:6" x14ac:dyDescent="0.25">
      <c r="B24" s="13" t="s">
        <v>18</v>
      </c>
      <c r="C24" s="14">
        <v>600</v>
      </c>
    </row>
    <row r="25" spans="2:6" x14ac:dyDescent="0.25">
      <c r="B25" s="13" t="s">
        <v>316</v>
      </c>
      <c r="C25" s="14">
        <v>600</v>
      </c>
      <c r="F25" s="14">
        <f>GETPIVOTDATA("EA Play Season Pass
Price",$B$21)</f>
        <v>600</v>
      </c>
    </row>
    <row r="28" spans="2:6" x14ac:dyDescent="0.25">
      <c r="B28" s="13" t="s">
        <v>322</v>
      </c>
    </row>
    <row r="31" spans="2:6" x14ac:dyDescent="0.25">
      <c r="B31" s="12" t="s">
        <v>16</v>
      </c>
      <c r="C31" t="s">
        <v>24</v>
      </c>
    </row>
    <row r="33" spans="2:19" x14ac:dyDescent="0.25">
      <c r="B33" s="12" t="s">
        <v>315</v>
      </c>
      <c r="C33" t="s">
        <v>323</v>
      </c>
    </row>
    <row r="34" spans="2:19" x14ac:dyDescent="0.25">
      <c r="B34" s="13" t="s">
        <v>22</v>
      </c>
      <c r="C34" s="14">
        <v>0</v>
      </c>
    </row>
    <row r="35" spans="2:19" x14ac:dyDescent="0.25">
      <c r="B35" s="13" t="s">
        <v>26</v>
      </c>
      <c r="C35" s="14">
        <v>540</v>
      </c>
    </row>
    <row r="36" spans="2:19" x14ac:dyDescent="0.25">
      <c r="B36" s="13" t="s">
        <v>18</v>
      </c>
      <c r="C36" s="14">
        <v>400</v>
      </c>
    </row>
    <row r="37" spans="2:19" x14ac:dyDescent="0.25">
      <c r="B37" s="13" t="s">
        <v>316</v>
      </c>
      <c r="C37" s="14">
        <v>940</v>
      </c>
      <c r="F37" s="14">
        <f>GETPIVOTDATA("Minecraft Season Pass Price",$B$33)</f>
        <v>940</v>
      </c>
    </row>
    <row r="41" spans="2:19" x14ac:dyDescent="0.25">
      <c r="B41" t="s">
        <v>324</v>
      </c>
    </row>
    <row r="42" spans="2:19" x14ac:dyDescent="0.25">
      <c r="B42" t="s">
        <v>326</v>
      </c>
    </row>
    <row r="43" spans="2:19" x14ac:dyDescent="0.25">
      <c r="B43" t="s">
        <v>327</v>
      </c>
    </row>
    <row r="44" spans="2:19" x14ac:dyDescent="0.25">
      <c r="B44" t="s">
        <v>329</v>
      </c>
    </row>
    <row r="45" spans="2:19" x14ac:dyDescent="0.25">
      <c r="L45" t="str">
        <f>INDEX(L48:L50,MATCH(MAX(M48:M50),M48:M50,0))</f>
        <v>Quarterly</v>
      </c>
      <c r="M45" s="14">
        <f>MAX(M48:M50)</f>
        <v>27.152941176470588</v>
      </c>
    </row>
    <row r="46" spans="2:19" x14ac:dyDescent="0.25">
      <c r="R46" t="str">
        <f>INDEX(R48:R50,MATCH(MAX(S48:S50),S48:S50,0))</f>
        <v>Quarterly</v>
      </c>
      <c r="S46" s="14">
        <f>MAX(R48:S50)</f>
        <v>8.1999999999999993</v>
      </c>
    </row>
    <row r="47" spans="2:19" x14ac:dyDescent="0.25">
      <c r="B47" s="12" t="s">
        <v>315</v>
      </c>
      <c r="C47" t="s">
        <v>330</v>
      </c>
      <c r="F47" s="25" t="s">
        <v>315</v>
      </c>
      <c r="G47" s="25" t="s">
        <v>325</v>
      </c>
      <c r="I47" s="30" t="s">
        <v>315</v>
      </c>
      <c r="J47" s="30" t="s">
        <v>317</v>
      </c>
      <c r="L47" s="25" t="s">
        <v>315</v>
      </c>
      <c r="M47" s="25" t="s">
        <v>328</v>
      </c>
      <c r="R47" s="25" t="s">
        <v>315</v>
      </c>
      <c r="S47" s="25" t="s">
        <v>330</v>
      </c>
    </row>
    <row r="48" spans="2:19" x14ac:dyDescent="0.25">
      <c r="B48" s="13" t="s">
        <v>24</v>
      </c>
      <c r="C48" s="14">
        <v>6.5857142857142854</v>
      </c>
      <c r="F48" s="13" t="s">
        <v>24</v>
      </c>
      <c r="G48" s="28">
        <v>70</v>
      </c>
      <c r="I48" s="31" t="s">
        <v>24</v>
      </c>
      <c r="J48" s="32">
        <v>1739</v>
      </c>
      <c r="L48" s="13" t="s">
        <v>24</v>
      </c>
      <c r="M48" s="14">
        <v>24.842857142857142</v>
      </c>
      <c r="R48" s="13" t="s">
        <v>24</v>
      </c>
      <c r="S48" s="14">
        <v>6.5857142857142854</v>
      </c>
    </row>
    <row r="49" spans="2:22" x14ac:dyDescent="0.25">
      <c r="B49" s="13" t="s">
        <v>20</v>
      </c>
      <c r="C49" s="14">
        <v>6.8695652173913047</v>
      </c>
      <c r="F49" s="13" t="s">
        <v>20</v>
      </c>
      <c r="G49" s="28">
        <v>138</v>
      </c>
      <c r="I49" s="31" t="s">
        <v>20</v>
      </c>
      <c r="J49" s="32">
        <v>3567</v>
      </c>
      <c r="L49" s="13" t="s">
        <v>20</v>
      </c>
      <c r="M49" s="14">
        <v>25.847826086956523</v>
      </c>
      <c r="R49" s="13" t="s">
        <v>20</v>
      </c>
      <c r="S49" s="14">
        <v>6.8695652173913047</v>
      </c>
    </row>
    <row r="50" spans="2:22" x14ac:dyDescent="0.25">
      <c r="B50" s="13" t="s">
        <v>27</v>
      </c>
      <c r="C50" s="14">
        <v>8.1999999999999993</v>
      </c>
      <c r="F50" s="13" t="s">
        <v>27</v>
      </c>
      <c r="G50" s="28">
        <v>85</v>
      </c>
      <c r="I50" s="31" t="s">
        <v>27</v>
      </c>
      <c r="J50" s="32">
        <v>2308</v>
      </c>
      <c r="L50" s="13" t="s">
        <v>27</v>
      </c>
      <c r="M50" s="14">
        <v>27.152941176470588</v>
      </c>
      <c r="R50" s="13" t="s">
        <v>27</v>
      </c>
      <c r="S50" s="14">
        <v>8.1999999999999993</v>
      </c>
    </row>
    <row r="51" spans="2:22" x14ac:dyDescent="0.25">
      <c r="B51" s="13" t="s">
        <v>316</v>
      </c>
      <c r="C51" s="14">
        <v>7.1877133105802047</v>
      </c>
      <c r="F51" s="26"/>
      <c r="G51" s="27"/>
    </row>
    <row r="54" spans="2:22" x14ac:dyDescent="0.25">
      <c r="B54" s="13" t="s">
        <v>331</v>
      </c>
    </row>
    <row r="55" spans="2:22" x14ac:dyDescent="0.25">
      <c r="G55" s="21"/>
    </row>
    <row r="56" spans="2:22" x14ac:dyDescent="0.25">
      <c r="B56" s="12" t="s">
        <v>325</v>
      </c>
      <c r="C56" s="12" t="s">
        <v>332</v>
      </c>
    </row>
    <row r="57" spans="2:22" x14ac:dyDescent="0.25">
      <c r="B57" s="12" t="s">
        <v>315</v>
      </c>
      <c r="C57" t="s">
        <v>23</v>
      </c>
      <c r="D57" t="s">
        <v>19</v>
      </c>
      <c r="E57" t="s">
        <v>316</v>
      </c>
    </row>
    <row r="58" spans="2:22" x14ac:dyDescent="0.25">
      <c r="B58" s="13" t="s">
        <v>24</v>
      </c>
      <c r="C58" s="23">
        <v>50</v>
      </c>
      <c r="D58" s="23">
        <v>20</v>
      </c>
      <c r="E58" s="23">
        <v>70</v>
      </c>
    </row>
    <row r="59" spans="2:22" x14ac:dyDescent="0.25">
      <c r="B59" s="13" t="s">
        <v>20</v>
      </c>
      <c r="C59" s="23">
        <v>93</v>
      </c>
      <c r="D59" s="23">
        <v>45</v>
      </c>
      <c r="E59" s="23">
        <v>138</v>
      </c>
      <c r="R59" t="str">
        <f>INDEX(R62:R64,MATCH(MAX(S62:S64),S62:S64,0))</f>
        <v>Quarterly</v>
      </c>
      <c r="S59" s="29">
        <f>MAX(R62:S64)</f>
        <v>0.38823529411764707</v>
      </c>
      <c r="U59" t="str">
        <f>INDEX(U62:U64,MATCH(MAX(V62:V64),V62:V64,0))</f>
        <v>Quarterly</v>
      </c>
      <c r="V59" s="29">
        <f>MAX(U62:V64)</f>
        <v>0.6705882352941176</v>
      </c>
    </row>
    <row r="60" spans="2:22" x14ac:dyDescent="0.25">
      <c r="B60" s="13" t="s">
        <v>27</v>
      </c>
      <c r="C60" s="23">
        <v>52</v>
      </c>
      <c r="D60" s="23">
        <v>33</v>
      </c>
      <c r="E60" s="23">
        <v>85</v>
      </c>
    </row>
    <row r="61" spans="2:22" x14ac:dyDescent="0.25">
      <c r="B61" s="13" t="s">
        <v>316</v>
      </c>
      <c r="C61" s="23">
        <v>195</v>
      </c>
      <c r="D61" s="23">
        <v>98</v>
      </c>
      <c r="E61" s="23">
        <v>293</v>
      </c>
      <c r="R61" t="s">
        <v>335</v>
      </c>
      <c r="S61" t="s">
        <v>334</v>
      </c>
      <c r="U61" t="s">
        <v>335</v>
      </c>
      <c r="V61" t="s">
        <v>336</v>
      </c>
    </row>
    <row r="62" spans="2:22" x14ac:dyDescent="0.25">
      <c r="R62" t="s">
        <v>24</v>
      </c>
      <c r="S62" s="29">
        <f>D58/E58</f>
        <v>0.2857142857142857</v>
      </c>
      <c r="U62" t="s">
        <v>24</v>
      </c>
      <c r="V62" s="29">
        <f>D67/E67</f>
        <v>0.65714285714285714</v>
      </c>
    </row>
    <row r="63" spans="2:22" x14ac:dyDescent="0.25">
      <c r="B63" s="13" t="s">
        <v>333</v>
      </c>
      <c r="R63" t="s">
        <v>20</v>
      </c>
      <c r="S63" s="29">
        <f>D59/E59</f>
        <v>0.32608695652173914</v>
      </c>
      <c r="U63" t="s">
        <v>20</v>
      </c>
      <c r="V63" s="29">
        <f>D68/E68</f>
        <v>0.65217391304347827</v>
      </c>
    </row>
    <row r="64" spans="2:22" x14ac:dyDescent="0.25">
      <c r="R64" t="s">
        <v>27</v>
      </c>
      <c r="S64" s="29">
        <f>D60/E60</f>
        <v>0.38823529411764707</v>
      </c>
      <c r="U64" t="s">
        <v>27</v>
      </c>
      <c r="V64" s="29">
        <f>D69/E69</f>
        <v>0.6705882352941176</v>
      </c>
    </row>
    <row r="65" spans="2:5" x14ac:dyDescent="0.25">
      <c r="B65" s="12" t="s">
        <v>325</v>
      </c>
      <c r="C65" s="12" t="s">
        <v>332</v>
      </c>
    </row>
    <row r="66" spans="2:5" x14ac:dyDescent="0.25">
      <c r="B66" s="12" t="s">
        <v>315</v>
      </c>
      <c r="C66" t="s">
        <v>23</v>
      </c>
      <c r="D66" t="s">
        <v>19</v>
      </c>
      <c r="E66" t="s">
        <v>316</v>
      </c>
    </row>
    <row r="67" spans="2:5" x14ac:dyDescent="0.25">
      <c r="B67" s="13" t="s">
        <v>24</v>
      </c>
      <c r="C67" s="23">
        <v>24</v>
      </c>
      <c r="D67" s="23">
        <v>46</v>
      </c>
      <c r="E67" s="23">
        <v>70</v>
      </c>
    </row>
    <row r="68" spans="2:5" x14ac:dyDescent="0.25">
      <c r="B68" s="13" t="s">
        <v>20</v>
      </c>
      <c r="C68" s="23">
        <v>48</v>
      </c>
      <c r="D68" s="23">
        <v>90</v>
      </c>
      <c r="E68" s="23">
        <v>138</v>
      </c>
    </row>
    <row r="69" spans="2:5" x14ac:dyDescent="0.25">
      <c r="B69" s="13" t="s">
        <v>27</v>
      </c>
      <c r="C69" s="23">
        <v>28</v>
      </c>
      <c r="D69" s="23">
        <v>57</v>
      </c>
      <c r="E69" s="23">
        <v>85</v>
      </c>
    </row>
    <row r="70" spans="2:5" x14ac:dyDescent="0.25">
      <c r="B70" s="13" t="s">
        <v>316</v>
      </c>
      <c r="C70" s="23">
        <v>100</v>
      </c>
      <c r="D70" s="23">
        <v>193</v>
      </c>
      <c r="E70" s="23">
        <v>293</v>
      </c>
    </row>
  </sheetData>
  <mergeCells count="1">
    <mergeCell ref="B3:D3"/>
  </mergeCells>
  <pageMargins left="0.511811024" right="0.511811024" top="0.78740157499999996" bottom="0.78740157499999996" header="0.31496062000000002" footer="0.31496062000000002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X7"/>
  <sheetViews>
    <sheetView showGridLines="0" showRowColHeaders="0" tabSelected="1" topLeftCell="A52" zoomScale="80" zoomScaleNormal="80" workbookViewId="0">
      <selection activeCell="O61" sqref="O61"/>
    </sheetView>
  </sheetViews>
  <sheetFormatPr defaultRowHeight="15" x14ac:dyDescent="0.25"/>
  <cols>
    <col min="1" max="1" width="28.28515625" style="4" customWidth="1"/>
    <col min="2" max="2" width="3.5703125" style="16" customWidth="1"/>
    <col min="3" max="11" width="9.140625" style="16"/>
    <col min="12" max="12" width="6.5703125" style="16" customWidth="1"/>
    <col min="13" max="16384" width="9.140625" style="16"/>
  </cols>
  <sheetData>
    <row r="1" spans="1:24" customFormat="1" x14ac:dyDescent="0.25">
      <c r="A1" s="4"/>
    </row>
    <row r="2" spans="1:24" customFormat="1" ht="35.25" customHeight="1" thickBot="1" x14ac:dyDescent="0.5">
      <c r="A2" s="4"/>
      <c r="C2" s="19" t="s">
        <v>319</v>
      </c>
      <c r="D2" s="20"/>
      <c r="E2" s="20"/>
      <c r="F2" s="20"/>
      <c r="G2" s="20"/>
      <c r="H2" s="20"/>
      <c r="I2" s="17"/>
      <c r="J2" s="17"/>
      <c r="K2" s="17"/>
      <c r="L2" s="17"/>
      <c r="M2" s="17"/>
      <c r="N2" s="17"/>
      <c r="O2" s="17"/>
      <c r="P2" s="17"/>
      <c r="Q2" s="18"/>
      <c r="R2" s="18"/>
      <c r="S2" s="18"/>
      <c r="T2" s="18"/>
      <c r="U2" s="18"/>
      <c r="V2" s="18"/>
      <c r="W2" s="18"/>
      <c r="X2" s="18"/>
    </row>
    <row r="3" spans="1:24" ht="8.25" customHeight="1" thickTop="1" x14ac:dyDescent="0.25"/>
    <row r="4" spans="1:24" ht="7.5" customHeight="1" x14ac:dyDescent="0.25"/>
    <row r="5" spans="1:24" ht="10.5" customHeight="1" x14ac:dyDescent="0.25">
      <c r="J5" s="22"/>
    </row>
    <row r="6" spans="1:24" ht="9.75" customHeight="1" x14ac:dyDescent="0.25"/>
    <row r="7" spans="1:24" ht="33" customHeight="1" x14ac:dyDescent="0.25"/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Janmilly kelle</cp:lastModifiedBy>
  <dcterms:created xsi:type="dcterms:W3CDTF">2024-12-19T13:13:10Z</dcterms:created>
  <dcterms:modified xsi:type="dcterms:W3CDTF">2026-09-29T23:51:14Z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